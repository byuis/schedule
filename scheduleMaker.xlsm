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ode\chf\schedule\"/>
    </mc:Choice>
  </mc:AlternateContent>
  <xr:revisionPtr revIDLastSave="0" documentId="13_ncr:1_{50650DBD-F701-4866-AFDC-77B1BC3A1D34}" xr6:coauthVersionLast="47" xr6:coauthVersionMax="47" xr10:uidLastSave="{00000000-0000-0000-0000-000000000000}"/>
  <bookViews>
    <workbookView xWindow="32280" yWindow="-120" windowWidth="57840" windowHeight="32640" activeTab="2" xr2:uid="{90196B76-1E12-4739-BA98-DB01DA887A0D}"/>
  </bookViews>
  <sheets>
    <sheet name="Sheet1" sheetId="1" r:id="rId1"/>
    <sheet name="2024" sheetId="2" r:id="rId2"/>
    <sheet name="2025" sheetId="5" r:id="rId3"/>
    <sheet name="2025 founders" sheetId="6" r:id="rId4"/>
    <sheet name="2025 pin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6" l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40" i="5"/>
  <c r="J34" i="5"/>
  <c r="J35" i="5"/>
  <c r="J36" i="5"/>
  <c r="J38" i="5"/>
  <c r="J37" i="5"/>
  <c r="J39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1" i="5"/>
  <c r="D16" i="6"/>
  <c r="D1" i="6"/>
  <c r="D2" i="6"/>
  <c r="D5" i="6"/>
  <c r="D6" i="6"/>
  <c r="D7" i="6"/>
  <c r="D9" i="6"/>
  <c r="D10" i="6"/>
  <c r="D12" i="6"/>
  <c r="D13" i="6"/>
  <c r="D14" i="6"/>
  <c r="D15" i="6"/>
  <c r="D17" i="6"/>
  <c r="D19" i="6"/>
  <c r="D20" i="6"/>
  <c r="D18" i="6"/>
  <c r="D4" i="6"/>
  <c r="D11" i="6"/>
  <c r="D3" i="6"/>
  <c r="D8" i="6"/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1" i="2"/>
  <c r="D11" i="1"/>
  <c r="D5" i="1"/>
  <c r="D6" i="1" s="1"/>
  <c r="D7" i="1" s="1"/>
  <c r="D3" i="1"/>
  <c r="D13" i="1" l="1"/>
  <c r="D14" i="1" s="1"/>
  <c r="D16" i="1" s="1"/>
  <c r="D19" i="1" s="1"/>
  <c r="D21" i="1" s="1"/>
  <c r="D22" i="1" s="1"/>
  <c r="D24" i="1" s="1"/>
  <c r="D26" i="1" s="1"/>
  <c r="D28" i="1" s="1"/>
</calcChain>
</file>

<file path=xl/sharedStrings.xml><?xml version="1.0" encoding="utf-8"?>
<sst xmlns="http://schemas.openxmlformats.org/spreadsheetml/2006/main" count="675" uniqueCount="419">
  <si>
    <t>Title</t>
  </si>
  <si>
    <t>one liner</t>
  </si>
  <si>
    <t>location</t>
  </si>
  <si>
    <t>time</t>
  </si>
  <si>
    <t>SOUTH MEETING HOUSE</t>
  </si>
  <si>
    <t>CUP AND QUILL</t>
  </si>
  <si>
    <t>AMERICAN CAMP</t>
  </si>
  <si>
    <t>FRONTIER VILLAGE</t>
  </si>
  <si>
    <t>THE GEORGES</t>
  </si>
  <si>
    <t>Soldiers Mess</t>
  </si>
  <si>
    <t>A meal for the soldiers</t>
  </si>
  <si>
    <t>AMERICAN MESS</t>
  </si>
  <si>
    <t>Women of the Frontier</t>
  </si>
  <si>
    <t>Infantry Demonstrations</t>
  </si>
  <si>
    <t>BRITISH CAMP</t>
  </si>
  <si>
    <t>CONTINENTAL FIELD</t>
  </si>
  <si>
    <t>AMERICAN CAMP:</t>
  </si>
  <si>
    <t>Boston: A Horrid Massacre</t>
  </si>
  <si>
    <t>Hear and participate in the story of what really happened in Boston. Who was truly at fault?</t>
  </si>
  <si>
    <t>Conversation with Martha Washington</t>
  </si>
  <si>
    <t>Hear Martha’s side of what the Revolutionary War was like with stories of the General that he won’t tell you.</t>
  </si>
  <si>
    <t>Continental Army Re-enlistment</t>
  </si>
  <si>
    <t>Witness Washington plea to re-enlist, how the Continental Army was able to keep the war alive.</t>
  </si>
  <si>
    <t>Conversation with Elizabeth Thomas</t>
  </si>
  <si>
    <t>A spy you say!? Yes, you heard it correctly. Elizabeth was a real spy for the British Crown. Come and listen to her story!</t>
  </si>
  <si>
    <t>What’s in the Bag?</t>
  </si>
  <si>
    <t>Come and see the contents of a shooting pouch on the frontier. Ask the tough questions, get the really good answers.</t>
  </si>
  <si>
    <t>Colonial Dance Instruction</t>
  </si>
  <si>
    <t>Come join in one of the colonists favorite diversions: dance. Learn some of the dances of the era.</t>
  </si>
  <si>
    <t>Conversation with Ben Franklin</t>
  </si>
  <si>
    <t>Be a part of a conversation with the great Benjamin Franklin. Feel free to ask all the questions you have about his work, even that crazy idea of electricity.</t>
  </si>
  <si>
    <t>Liber“tea” with the Founding Fathers</t>
  </si>
  <si>
    <t>Enjoy colonial teas, biscuits and tarts while you sit and visit with the founders about the ideas of the Revolution. Hosted by lady Washington, seating is limited ($10/person); tickets available at the foundation office: map #1.</t>
  </si>
  <si>
    <t>Frontier Style Warfare</t>
  </si>
  <si>
    <t>Demonstrating tactics and techniques of frontier warfare.</t>
  </si>
  <si>
    <t>Conversation on the Declaration</t>
  </si>
  <si>
    <t>Listen to the thoughts of key Founding Fathers (Adams, Jefferson, Franklin) about the Declaration of Independence. Ask the questions you have always wondered.</t>
  </si>
  <si>
    <t>Continental Army</t>
  </si>
  <si>
    <t>Continental Artillery and Infantry and the firing of musket volleys.</t>
  </si>
  <si>
    <t>Observe the life and skills, and hardships of a woman on the colonial frontier.</t>
  </si>
  <si>
    <t>Conversation with Deborah Samson</t>
  </si>
  <si>
    <t>A female Continental soldier, really?! Come hear this amazing story of the woman who disguised herself as a man in order to fight for the cause of liberty.</t>
  </si>
  <si>
    <t>Soldier vs. Frontier Scout</t>
  </si>
  <si>
    <t>Are all things military created equal? Come find out as you see the differences in gear between a regular soldier and a frontier scout.</t>
  </si>
  <si>
    <t>Shay’s Rebellion</t>
  </si>
  <si>
    <t>Participate in the little-known rebellion that led to the writing of the Constitution and Washington’s presidency.</t>
  </si>
  <si>
    <t>Conversation with the Washingtons</t>
  </si>
  <si>
    <t>Haven’t you always wanted to talk with General and Lady Washington? Now is your chance to ask those burning questions.</t>
  </si>
  <si>
    <t>Making a Buck</t>
  </si>
  <si>
    <t>Come see and learn how the trading of deer hides established a monetary system in the frontier.</t>
  </si>
  <si>
    <t>Fire in the Hole!</t>
  </si>
  <si>
    <t>Not cannon fire, but fire starting on the frontier. Is it as easy as you think?</t>
  </si>
  <si>
    <t>Conversation with Thomas Jefferson</t>
  </si>
  <si>
    <t>Why did Thomas Jefferson write that? Ask him yourself as you join the conversation with this famous author.</t>
  </si>
  <si>
    <t>Reflections of New Nation</t>
  </si>
  <si>
    <t>Hear the concerns about the newly adopted Constitution from the first to live under it, including Washington.</t>
  </si>
  <si>
    <t>Walk a Mile in Their Shoes</t>
  </si>
  <si>
    <t>Making of functional footwear along the frontier was essential for protecting the feet and critical for comfort.</t>
  </si>
  <si>
    <t>Trooping the Colors (American)</t>
  </si>
  <si>
    <t>Follow both the American and British Military as they come together to end the day’s activities.</t>
  </si>
  <si>
    <t>Trooping the Colors (British)</t>
  </si>
  <si>
    <t>Continental Artillery and Infantry</t>
  </si>
  <si>
    <t>Close the day as the Continental forces fire the cannon typical of the Revolutionary War. Infantry drill and the firing of musket volleys too.</t>
  </si>
  <si>
    <t>An evening of Shakespeare; Perhaps</t>
  </si>
  <si>
    <t>Just after the closing cannon, James Stagg’s “Company of Fools”, will provide an Evening of Shakespeare that could result in a Comedy of Errors! Amusement will ensue for all!</t>
  </si>
  <si>
    <t>Colonial Wedding</t>
  </si>
  <si>
    <t>Witness General Washington performing the joining of a soldier and his lady.</t>
  </si>
  <si>
    <t>9:00 am Hour</t>
  </si>
  <si>
    <t>10:00 am Hour</t>
  </si>
  <si>
    <t>Colonial School</t>
  </si>
  <si>
    <t>Patrick Henry</t>
  </si>
  <si>
    <t>Unfurling History</t>
  </si>
  <si>
    <t>British Muster &amp; Drill</t>
  </si>
  <si>
    <t>11:00 am Hour</t>
  </si>
  <si>
    <t>Patriots in Petticoats</t>
  </si>
  <si>
    <t>Tea Tax Debate</t>
  </si>
  <si>
    <t>arrive early to participate</t>
  </si>
  <si>
    <t>Elevenses</t>
  </si>
  <si>
    <t>limited seating</t>
  </si>
  <si>
    <t>Never Caught</t>
  </si>
  <si>
    <t>Calligraphy I</t>
  </si>
  <si>
    <t>Noon Hour</t>
  </si>
  <si>
    <t>Galvez and Rochambeau</t>
  </si>
  <si>
    <t>Piracy Trial</t>
  </si>
  <si>
    <t>Lucet Class</t>
  </si>
  <si>
    <t>Shut-the-Box</t>
  </si>
  <si>
    <t>Gunpowder Incident</t>
  </si>
  <si>
    <t>1:00 pm Hour</t>
  </si>
  <si>
    <t>Declaration of Independence</t>
  </si>
  <si>
    <t>Hear the Declaration of Independence as read by Founding Fathers and others affected by its ideas</t>
  </si>
  <si>
    <t>2:00 pm Hour</t>
  </si>
  <si>
    <t>Break bread with the Brits</t>
  </si>
  <si>
    <t>Hog-theft Trial</t>
  </si>
  <si>
    <t>Robert Morris</t>
  </si>
  <si>
    <t>Calligraphy II</t>
  </si>
  <si>
    <t>3:00 pm Hour</t>
  </si>
  <si>
    <t>John Adams</t>
  </si>
  <si>
    <t>4:00 pm Hour</t>
  </si>
  <si>
    <t>Benjamin Franklin</t>
  </si>
  <si>
    <t>7:00 pm, Friday, July 5</t>
  </si>
  <si>
    <t>Dance Instruction</t>
  </si>
  <si>
    <t>American Militiaman</t>
  </si>
  <si>
    <t>Continental Artillery</t>
  </si>
  <si>
    <t>James Madison</t>
  </si>
  <si>
    <t>Colonial Folk Songs</t>
  </si>
  <si>
    <t>Sybil Luddington</t>
  </si>
  <si>
    <t>British Swordplay</t>
  </si>
  <si>
    <t>Patrick Ferguson</t>
  </si>
  <si>
    <t>Closing Firing</t>
  </si>
  <si>
    <t>Colonial Dance</t>
  </si>
  <si>
    <t>Children attend school for academic, etiquette, and moral lessons of the day</t>
  </si>
  <si>
    <t>Watch British military demonstrate offensive and defensive techniques</t>
  </si>
  <si>
    <t>A conversation with one of the revolution’s top orators</t>
  </si>
  <si>
    <t>Learn the history of the flags of the American Revolution</t>
  </si>
  <si>
    <t>The King’s forces maneuver and drill, preparing to suppress the rebellion</t>
  </si>
  <si>
    <t>Join this favorite pastime and learn some favorite colonial dances</t>
  </si>
  <si>
    <t>Listen to the Revolutionary War’s top marksman. Will you enlist?</t>
  </si>
  <si>
    <t>Taste a traditional colonial drink, biscuits and tarts while you sit and visit with the founders about the ideas of the revolution</t>
  </si>
  <si>
    <t>Find out why the American militia was so critical to the revolution</t>
  </si>
  <si>
    <t>Hear the adventures of Ona Judge, escaped from servitude at Mt. Vernon</t>
  </si>
  <si>
    <t>Young patriots join the militia to muster as they march through the Colonial Village and fire some rounds</t>
  </si>
  <si>
    <t>Beginners use pencil to learn the basic strokes that form 18th century script</t>
  </si>
  <si>
    <t>Participate in the Admiralty Court. Will we hang another pirate?</t>
  </si>
  <si>
    <t>Learn to work this ancient tool to make cord for laces, draw-strings, etc.</t>
  </si>
  <si>
    <t>Enter a tournament playing a popular game of chance and skill for a prize</t>
  </si>
  <si>
    <t>Listen to the “true tale” of the appropriation of the people’s gunpowder by Virginia’s governor. Will the governor respond?</t>
  </si>
  <si>
    <t>Enjoy some of the lesser-known songs of the American colonial era</t>
  </si>
  <si>
    <t>You’ve heard of Paul Revere’s ride; now listen to Sybil tell of her harrowing ride</t>
  </si>
  <si>
    <t>One colonist is accused of stealing a hog. Watch the wheels of British justice turn and help decide the fate of the accused</t>
  </si>
  <si>
    <t>Hear from this signer of the Declaration who was the financier of the Revolution</t>
  </si>
  <si>
    <t>Quill and ink instruction appropriate for adults and mature youth ($5 fee)</t>
  </si>
  <si>
    <t>Join as Continental forces fire the cannon typical of the Revolutionary War</t>
  </si>
  <si>
    <t>Join the Sage of America, the Newton of Electricity, Poor Richard himself—Dr. Franklin</t>
  </si>
  <si>
    <t>Join a colonial dance for adults and children old enough to follow instruction and participate in dancing</t>
  </si>
  <si>
    <t>Close the day as the Crown forces and American troops join in a final volley</t>
  </si>
  <si>
    <t>Begin the day as Continental forces load and fire the cannon typical of the Revolutionary War</t>
  </si>
  <si>
    <t>Contributions of lesser-known women to American Independence</t>
  </si>
  <si>
    <t>Decide if you will march on the ships in the harbor that carry the King’s tea</t>
  </si>
  <si>
    <t>A discussion of the roles of Spanish and French military in the American Revolution</t>
  </si>
  <si>
    <t>Join as Continental forces load and fire the cannon typical of the Revolutionary War</t>
  </si>
  <si>
    <t>A conversation with the Father of the Constitution of the United States</t>
  </si>
  <si>
    <t>Taste a traditional colonial drink, breads and jellies while you discuss happenings in the rebellious colonies with those loyal to the crown</t>
  </si>
  <si>
    <t>A conversation with the titan of American Independence</t>
  </si>
  <si>
    <t>British  Swordplay</t>
  </si>
  <si>
    <t>ages 16 &amp; older limited seating donations urged</t>
  </si>
  <si>
    <t>Children’s Militia</t>
  </si>
  <si>
    <t>9:00</t>
  </si>
  <si>
    <t>10:00</t>
  </si>
  <si>
    <t>10:15</t>
  </si>
  <si>
    <t>10:30</t>
  </si>
  <si>
    <t>10:45</t>
  </si>
  <si>
    <t>11:00</t>
  </si>
  <si>
    <t>11:30</t>
  </si>
  <si>
    <t>12:00</t>
  </si>
  <si>
    <t>12:30</t>
  </si>
  <si>
    <t>12:45</t>
  </si>
  <si>
    <t>1:00</t>
  </si>
  <si>
    <t>1:30</t>
  </si>
  <si>
    <t>1:45</t>
  </si>
  <si>
    <t>2:00</t>
  </si>
  <si>
    <t>2:45</t>
  </si>
  <si>
    <t>3:00</t>
  </si>
  <si>
    <t>3:15</t>
  </si>
  <si>
    <t>3:30</t>
  </si>
  <si>
    <t>3:45</t>
  </si>
  <si>
    <t>4:00</t>
  </si>
  <si>
    <t>4:15</t>
  </si>
  <si>
    <t>7:00</t>
  </si>
  <si>
    <t>#</t>
  </si>
  <si>
    <t>label</t>
  </si>
  <si>
    <t>Gift Shop &amp; Information</t>
  </si>
  <si>
    <t>Find Your Colonial Relatives</t>
  </si>
  <si>
    <t>Founders’ Corner</t>
  </si>
  <si>
    <t>South Meeting House</t>
  </si>
  <si>
    <t>Josiah Harmar Camp</t>
  </si>
  <si>
    <t xml:space="preserve">Andress weapons, etc. </t>
  </si>
  <si>
    <t>General Rochambeau</t>
  </si>
  <si>
    <t>Gov. Bernardo de Gálvez</t>
  </si>
  <si>
    <t>Cup and Quill</t>
  </si>
  <si>
    <t>Camp Kitchen</t>
  </si>
  <si>
    <t>American Camp</t>
  </si>
  <si>
    <t>Military Surgeon</t>
  </si>
  <si>
    <t>Citizen Soldiers</t>
  </si>
  <si>
    <t>John Paul Jones</t>
  </si>
  <si>
    <t>Camp Follower</t>
  </si>
  <si>
    <t>Colonial Chocolate</t>
  </si>
  <si>
    <t>Blacksmith</t>
  </si>
  <si>
    <t>Village Hatter</t>
  </si>
  <si>
    <t>Sons of Liberty</t>
  </si>
  <si>
    <t>Continental Field</t>
  </si>
  <si>
    <t>Bookbinder</t>
  </si>
  <si>
    <t>Paper Making</t>
  </si>
  <si>
    <t>Print Shop</t>
  </si>
  <si>
    <t>Mayflower</t>
  </si>
  <si>
    <t>The Grove</t>
  </si>
  <si>
    <t>Conversations</t>
  </si>
  <si>
    <t>School/Hall</t>
  </si>
  <si>
    <t>Chores</t>
  </si>
  <si>
    <t>Games</t>
  </si>
  <si>
    <t>Faneuil Hall</t>
  </si>
  <si>
    <t>Culper Spy Ring HQ</t>
  </si>
  <si>
    <t>Cooper, Broom Maker</t>
  </si>
  <si>
    <t>Apothecary</t>
  </si>
  <si>
    <t>Chandlery</t>
  </si>
  <si>
    <t>Wildwood Mercantile</t>
  </si>
  <si>
    <t>Woodworker</t>
  </si>
  <si>
    <t>Potter</t>
  </si>
  <si>
    <t>Gunsmith</t>
  </si>
  <si>
    <t>Fiber Preparation</t>
  </si>
  <si>
    <t>Spinning and Weaving</t>
  </si>
  <si>
    <t>Charcoal Portraits</t>
  </si>
  <si>
    <t>King's Field</t>
  </si>
  <si>
    <t>British Encampment</t>
  </si>
  <si>
    <t>Laundress</t>
  </si>
  <si>
    <t>Painted Hog Tavern</t>
  </si>
  <si>
    <t>Silversmith</t>
  </si>
  <si>
    <t>Gray's Rope Walk</t>
  </si>
  <si>
    <t>Calligrapher</t>
  </si>
  <si>
    <t>Publick Hall</t>
  </si>
  <si>
    <t>Basket Maker</t>
  </si>
  <si>
    <t>Sutler</t>
  </si>
  <si>
    <t>Native Lore</t>
  </si>
  <si>
    <t>Carol's Station: Frontier Trading and Homesteads</t>
  </si>
  <si>
    <t>Luthier</t>
  </si>
  <si>
    <t>Spoon Maker</t>
  </si>
  <si>
    <t>Cornish Pasties</t>
  </si>
  <si>
    <t>Maria’s Lemonade</t>
  </si>
  <si>
    <t>Bakehouse</t>
  </si>
  <si>
    <t>Brooker’s Ice Cream</t>
  </si>
  <si>
    <t>Jolley Art</t>
  </si>
  <si>
    <t>Export image from photoshop and bring it into pindropper.html (current_map.png in the chf/schedule folder.  Crop image to 1440x950</t>
  </si>
  <si>
    <t>add_area('46,551,192,565','480','557','Gift Shop &amp; Information')</t>
  </si>
  <si>
    <t>add_area('46,568,213,584','455','556','Find Your Colonial Relatives')</t>
  </si>
  <si>
    <t>add_area('48,586,160,602','428','395','Founders’ Corner')</t>
  </si>
  <si>
    <t>add_area('47,604,175,618','428','292','South Meeting House')</t>
  </si>
  <si>
    <t>add_area('46,620,172,637','454','188','Josiah Harmar Camp')</t>
  </si>
  <si>
    <t>add_area('47,638,181,656','433','167','Andress weapons, etc.')</t>
  </si>
  <si>
    <t>add_area('45,655,174,672','410','146','General Rochambeau')</t>
  </si>
  <si>
    <t>add_area('47,671,193,689','390','132','Gov. Bernardo de Gálvez')</t>
  </si>
  <si>
    <t>add_area('46,691,140,705','303','170','Cup and Quill')</t>
  </si>
  <si>
    <t>add_area('46,708,146,725','264','116','Camp Kitchen')</t>
  </si>
  <si>
    <t>add_area('45,725,153,743','227','164','American Camp')</t>
  </si>
  <si>
    <t>add_area('46,744,156,759','128','278','Military Surgeon')</t>
  </si>
  <si>
    <t>add_area('46,760,151,778','98','314','Citizen Soldiers')</t>
  </si>
  <si>
    <t>add_area('47,779,163,795','101','285','John Paul Jones')</t>
  </si>
  <si>
    <t>add_area('47,795,152,811','112','232','Camp Follower')</t>
  </si>
  <si>
    <t>add_area('45,814,167,829','82','241','Colonial Chocolate')</t>
  </si>
  <si>
    <t>add_area('46,831,131,847','61','271','Blacksmith')</t>
  </si>
  <si>
    <t>add_area('45,849,146,864','59','318','Village Hatter')</t>
  </si>
  <si>
    <t>add_area('45,866,152,882','82','359','Sons of Liberty')</t>
  </si>
  <si>
    <t>add_area('45,884,163,898','248','374','Continental Field')</t>
  </si>
  <si>
    <t>add_area('46,901,130,918','134','687','Bookbinder')</t>
  </si>
  <si>
    <t>add_area('202,661,300,677','127','749','Paper Making')</t>
  </si>
  <si>
    <t>add_area('203,678,286,694','166','764','Print Shop')</t>
  </si>
  <si>
    <t>add_area('204,697,285,712','245','636','Mayflower')</t>
  </si>
  <si>
    <t>add_area('202,712,289,730','315','658','The Grove')</t>
  </si>
  <si>
    <t>add_area('204,730,305,747','402','632','Conversations')</t>
  </si>
  <si>
    <t>add_area('204,748,292,763','482','730','School/Hall')</t>
  </si>
  <si>
    <t>add_area('202,765,265,779','476','776','Chores')</t>
  </si>
  <si>
    <t>add_area('204,784,264,796','509','768','Games')</t>
  </si>
  <si>
    <t>add_area('204,800,295,814','543','807','Faneuil Hall')</t>
  </si>
  <si>
    <t>add_area('202,818,340,835','592','850','Culper Spy Ring HQ')</t>
  </si>
  <si>
    <t>add_area('204,837,345,851','574','895','Cooper, Broom Maker')</t>
  </si>
  <si>
    <t>add_area('204,854,291,870','546','910','Apothecary')</t>
  </si>
  <si>
    <t>add_area('203,869,285,887','549','935','Chandlery')</t>
  </si>
  <si>
    <t>add_area('203,888,344,904','562','969','Wildwood Mercantile')</t>
  </si>
  <si>
    <t>add_area('200,906,304,921','576','1014','Woodworker')</t>
  </si>
  <si>
    <t>add_area('354,681,415,697','600','1032','Potter')</t>
  </si>
  <si>
    <t>add_area('355,700,431,715','636','1035','Gunsmith')</t>
  </si>
  <si>
    <t>add_area('354,714,471,730','681','975','Fiber Preparation')</t>
  </si>
  <si>
    <t>add_area('352,734,496,751','689','917','  Spinning and Weaving')</t>
  </si>
  <si>
    <t>add_area('352,750,469,767','679','837','Charcoal Portraits')</t>
  </si>
  <si>
    <t>add_area('356,767,445,783','617','741','King's Field')</t>
  </si>
  <si>
    <t>add_area('353,786,483,802','677','726','British Encampment')</t>
  </si>
  <si>
    <t>add_area('355,801,436,818','682','770','Laundress')</t>
  </si>
  <si>
    <t>add_area('353,820,485,836','705','793','Painted Hog Tavern')</t>
  </si>
  <si>
    <t>add_area('352,839,442,853','714','834','Silversmith')</t>
  </si>
  <si>
    <t>add_area('353,855,480,872','734','865','Gray's Rope Walk')</t>
  </si>
  <si>
    <t>add_area('355,871,442,889','768','850','Calligrapher')</t>
  </si>
  <si>
    <t>add_area('353,889,446,905','762','821','Publick Hall')</t>
  </si>
  <si>
    <t>add_area('354,907,450,926','781','807','Basket Maker')</t>
  </si>
  <si>
    <t>add_area('1129,525,1183,540','766','697','Sutler')</t>
  </si>
  <si>
    <t>add_area('1130,541,1225,558','798','720','Native Lore')</t>
  </si>
  <si>
    <t>add_area('1130,559,1227,607','758','958','Carol's Station: Frontier Trading and Homesteads')</t>
  </si>
  <si>
    <t>add_area('1129,605,1192,621','557','1078','Luthier')</t>
  </si>
  <si>
    <t>add_area('1247,523,1341,539','507','1063','Spoon Maker')</t>
  </si>
  <si>
    <t>add_area('1247,539,1347,556','469','1082','Cornish Pasties')</t>
  </si>
  <si>
    <t>add_area('1247,556,1359,570','454','1102','Maria’s Lemonade')</t>
  </si>
  <si>
    <t>add_area('1248,571,1322,587','476','1137','Bakehouse')</t>
  </si>
  <si>
    <t>add_area('1245,589,1368,605','443','1136','Brooker’s Ice Cream')</t>
  </si>
  <si>
    <t>add_area('1247,605,1320,621','466','1209','Jolley Art')</t>
  </si>
  <si>
    <t>Elizabeth Freeman</t>
  </si>
  <si>
    <t>Hammer Dulcimer</t>
  </si>
  <si>
    <t>Mercy Otis Warren</t>
  </si>
  <si>
    <t>Spilling Tea and Making History</t>
  </si>
  <si>
    <t>Roger Sherman</t>
  </si>
  <si>
    <t xml:space="preserve">Children’s Militia  </t>
  </si>
  <si>
    <t>Hammered Dulcimer</t>
  </si>
  <si>
    <t>Founding Father</t>
  </si>
  <si>
    <t>Military Closing Volleys</t>
  </si>
  <si>
    <t>7:00 pm, Thursday, July 3</t>
  </si>
  <si>
    <t>ages 16 &amp; older - limited seating - donations urged</t>
  </si>
  <si>
    <t>John Hancock</t>
  </si>
  <si>
    <t xml:space="preserve"># of participants limited </t>
  </si>
  <si>
    <t># of participants limited</t>
  </si>
  <si>
    <t>Children attend school for academic, etiquette, and moral lessons of the day.</t>
  </si>
  <si>
    <t>Watch British military demonstrate offensive and defensive techniques.</t>
  </si>
  <si>
    <t>A conversation with one of the revolution’s top orators.</t>
  </si>
  <si>
    <t>Learn the history of the flags of the American Revolution.</t>
  </si>
  <si>
    <t>Hear the adventures of Ona Judge, escaped from servitude at Mt. Vernon.</t>
  </si>
  <si>
    <t>You’ve heard of Paul Revere’s ride; now listen to Sybil tell of her harrowing ride.</t>
  </si>
  <si>
    <t>The King’s forces maneuver and drill, preparing to suppress the rebellion.</t>
  </si>
  <si>
    <t>Hear the journey of the woman who was first to win freedom under the Massachusetts Constitution through the courts.</t>
  </si>
  <si>
    <t>Listen to a musical performance on this classical 18th century instrument.</t>
  </si>
  <si>
    <t>Decide if you will march on the ships in the harbor that carry the King’s tea.</t>
  </si>
  <si>
    <t>Taste a traditional colonial drink, biscuits and tarts while you sit and visit with the founders about the ideas of the revolution.</t>
  </si>
  <si>
    <t>Hear from one of America’s foremost Founding Mothers.</t>
  </si>
  <si>
    <t>Watch Continental forces load and fire cannon typical of the Revolutionary War.</t>
  </si>
  <si>
    <t>Beginners use pencil to learn the basic strokes that form 18th century script.</t>
  </si>
  <si>
    <t>Join this favorite pastime and learn some favorite colonial dances.</t>
  </si>
  <si>
    <t>Hear the experience of the only founding father to sign all 4 founding documents.</t>
  </si>
  <si>
    <t>In this Admiralty Court, will we hang another pirate or convict a smuggler?</t>
  </si>
  <si>
    <t>Young colonists muster &amp; march to show their patriotism.</t>
  </si>
  <si>
    <t>Enter a tournament playing a popular game of chance and skill for a prize.</t>
  </si>
  <si>
    <t>A discussion of the Spanish &amp; French roles in the American Revolution.</t>
  </si>
  <si>
    <t>A conversation with the Father of the United States Constitution.</t>
  </si>
  <si>
    <t>Contributions of lesser-known women to American Independence.</t>
  </si>
  <si>
    <t>Enjoy some of the lesser-known songs of the American colonial era.</t>
  </si>
  <si>
    <t>Young colonists muster, march to show their loyalty.</t>
  </si>
  <si>
    <t>Hear the Declaration of Independence as read by Founding Fathers and others affected by its ideas. Ask a founder a question.</t>
  </si>
  <si>
    <t>Join as Continental forces fire the cannon typical of the Revolutionary War.</t>
  </si>
  <si>
    <t>One colonist is accused of stealing a hog. Watch the wheels of British justice turn and help decide the fate of the accused.</t>
  </si>
  <si>
    <t>Listen to a performance of this classical 18th century instrument.</t>
  </si>
  <si>
    <t>Taste a traditional colonial drink, breads and jellies while you discuss happenings in the rebellious colonies with those loyal to the crown.</t>
  </si>
  <si>
    <t>Young colonists muster, march to show their patriotism.</t>
  </si>
  <si>
    <t>Hear from this signer of the Declaration who was the financier of the Revolution.</t>
  </si>
  <si>
    <t>A conversation with the titan of American Independence.</t>
  </si>
  <si>
    <t>A conversation with the man who lead the Continental Congress to independence.</t>
  </si>
  <si>
    <t>Join a colonial dance for adults and children old enough to follow instruction and participate in dancing.</t>
  </si>
  <si>
    <t>Hear Penelope Barker, organizer of the Edenton Tea Party, discuss the politics of 1774. Will you join the boycott of British goods?</t>
  </si>
  <si>
    <t>Begin the day as Continental forces load and fire the cannon typical of the Revolutionary War.</t>
  </si>
  <si>
    <t>A conversation with a Founding Father. Who will it be? Come Find out.</t>
  </si>
  <si>
    <t>Close the day as the Crown forces and American troops join in a final volley.</t>
  </si>
  <si>
    <t>12:15</t>
  </si>
  <si>
    <t>2:30</t>
  </si>
  <si>
    <t>4:45</t>
  </si>
  <si>
    <t>henry</t>
  </si>
  <si>
    <t>freeman</t>
  </si>
  <si>
    <t>ferguson</t>
  </si>
  <si>
    <t>warren</t>
  </si>
  <si>
    <t>sherman</t>
  </si>
  <si>
    <t>rochambeau</t>
  </si>
  <si>
    <t>madison</t>
  </si>
  <si>
    <t>judge</t>
  </si>
  <si>
    <t>barker</t>
  </si>
  <si>
    <t>ludington</t>
  </si>
  <si>
    <t>galvez</t>
  </si>
  <si>
    <t>LCCV-1BN</t>
  </si>
  <si>
    <t>LSDK-VB4</t>
  </si>
  <si>
    <t>galvez rochambeau</t>
  </si>
  <si>
    <t>morris</t>
  </si>
  <si>
    <t>adams</t>
  </si>
  <si>
    <t>hancock</t>
  </si>
  <si>
    <t>franklin</t>
  </si>
  <si>
    <t>washington</t>
  </si>
  <si>
    <t>thomas</t>
  </si>
  <si>
    <t>dickenson</t>
  </si>
  <si>
    <t>jones</t>
  </si>
  <si>
    <t>General Galvez</t>
  </si>
  <si>
    <t>Penelope Barker</t>
  </si>
  <si>
    <t>Samuel Birch</t>
  </si>
  <si>
    <t>birch</t>
  </si>
  <si>
    <t>Benjaman Franklin</t>
  </si>
  <si>
    <t>Ona Judge</t>
  </si>
  <si>
    <t>Sybil Ludington</t>
  </si>
  <si>
    <t>George Washington</t>
  </si>
  <si>
    <t>Isaiah Thomas</t>
  </si>
  <si>
    <t>John Dickenson</t>
  </si>
  <si>
    <t>KNDX-MKG</t>
  </si>
  <si>
    <t>LZXD-7S2</t>
  </si>
  <si>
    <t>K19W-1RK</t>
  </si>
  <si>
    <t>KJ46-JCZ</t>
  </si>
  <si>
    <t>LHG7-HT5</t>
  </si>
  <si>
    <t>L4B1-H33</t>
  </si>
  <si>
    <t>G31S-G8R</t>
  </si>
  <si>
    <t>LC9N-15S</t>
  </si>
  <si>
    <t>GWSZ-DK2</t>
  </si>
  <si>
    <t>LJLQ-WRC</t>
  </si>
  <si>
    <t>LVN9-NPL</t>
  </si>
  <si>
    <t>LJYV-FLC</t>
  </si>
  <si>
    <t>KCG2-9L6</t>
  </si>
  <si>
    <t>LZTD-MFS</t>
  </si>
  <si>
    <t>K87P-RSD</t>
  </si>
  <si>
    <t>K4RJ-KYH</t>
  </si>
  <si>
    <t>Jack Pauly</t>
  </si>
  <si>
    <t>Elary Hall</t>
  </si>
  <si>
    <t>Tom Wangeman</t>
  </si>
  <si>
    <t>David Belt</t>
  </si>
  <si>
    <t>Gregg Hardy</t>
  </si>
  <si>
    <t>Dennis Carlos</t>
  </si>
  <si>
    <t>Cap Caputp</t>
  </si>
  <si>
    <t>Ben Muhlstein</t>
  </si>
  <si>
    <t>Tom Wellborn</t>
  </si>
  <si>
    <t>Ben Moulton</t>
  </si>
  <si>
    <t>John Hockley</t>
  </si>
  <si>
    <t>Carl Wager</t>
  </si>
  <si>
    <t>Jared Rader</t>
  </si>
  <si>
    <t>Gove Allen</t>
  </si>
  <si>
    <t>Lawrence Howard</t>
  </si>
  <si>
    <t>MKNQ-TSF</t>
  </si>
  <si>
    <t>M5FX-VDM</t>
  </si>
  <si>
    <t>hopkinson</t>
  </si>
  <si>
    <t>Francis Hopkinson</t>
  </si>
  <si>
    <t>Cari Bartholomew</t>
  </si>
  <si>
    <t>Hailey</t>
  </si>
  <si>
    <t>Alyssa Michaelis</t>
  </si>
  <si>
    <t>Lyla Jackson</t>
  </si>
  <si>
    <t>DeVaughn Simper</t>
  </si>
  <si>
    <t>franklin madison washington thomas adams sherman morris dickenson jones hancock warren henry hopkinson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</si>
</sst>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18" fontId="0" fillId="0" borderId="0" xfId="0" applyNumberFormat="1"/>
    <xf numFmtId="20" fontId="0" fillId="0" borderId="0" xfId="0" applyNumberFormat="1"/>
    <xf numFmtId="49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0</xdr:row>
          <xdr:rowOff>114300</xdr:rowOff>
        </xdr:from>
        <xdr:to>
          <xdr:col>1</xdr:col>
          <xdr:colOff>1619250</xdr:colOff>
          <xdr:row>0</xdr:row>
          <xdr:rowOff>393700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pin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2F64-1581-4A4A-A74A-81315A4E98B0}">
  <sheetPr codeName="s"/>
  <dimension ref="A1:G431"/>
  <sheetViews>
    <sheetView topLeftCell="A25" zoomScale="205" zoomScaleNormal="205" workbookViewId="0">
      <selection activeCell="C29" sqref="C29"/>
    </sheetView>
  </sheetViews>
  <sheetFormatPr defaultColWidth="31.1796875" defaultRowHeight="14.5" x14ac:dyDescent="0.35"/>
  <sheetData>
    <row r="1" spans="1:7" x14ac:dyDescent="0.35">
      <c r="A1" t="s">
        <v>0</v>
      </c>
      <c r="B1" t="s">
        <v>1</v>
      </c>
      <c r="C1" t="s">
        <v>2</v>
      </c>
      <c r="D1" t="s">
        <v>3</v>
      </c>
    </row>
    <row r="2" spans="1:7" ht="43.5" x14ac:dyDescent="0.35">
      <c r="A2" s="1" t="s">
        <v>17</v>
      </c>
      <c r="B2" s="1" t="s">
        <v>18</v>
      </c>
      <c r="C2" t="s">
        <v>4</v>
      </c>
      <c r="D2" s="2">
        <v>0.41666666666666669</v>
      </c>
    </row>
    <row r="3" spans="1:7" ht="58" x14ac:dyDescent="0.35">
      <c r="A3" s="1" t="s">
        <v>19</v>
      </c>
      <c r="B3" s="1" t="s">
        <v>20</v>
      </c>
      <c r="C3" t="s">
        <v>5</v>
      </c>
      <c r="D3" s="2">
        <f>D2</f>
        <v>0.41666666666666669</v>
      </c>
    </row>
    <row r="4" spans="1:7" ht="43.5" x14ac:dyDescent="0.35">
      <c r="A4" s="1" t="s">
        <v>21</v>
      </c>
      <c r="B4" s="1" t="s">
        <v>22</v>
      </c>
      <c r="C4" t="s">
        <v>6</v>
      </c>
      <c r="D4" s="2">
        <v>0.45833333333333331</v>
      </c>
    </row>
    <row r="5" spans="1:7" ht="58" x14ac:dyDescent="0.35">
      <c r="A5" s="1" t="s">
        <v>23</v>
      </c>
      <c r="B5" s="1" t="s">
        <v>24</v>
      </c>
      <c r="C5" t="s">
        <v>5</v>
      </c>
      <c r="D5" s="2">
        <f t="shared" ref="D5:D28" si="0">D4</f>
        <v>0.45833333333333331</v>
      </c>
    </row>
    <row r="6" spans="1:7" ht="58" x14ac:dyDescent="0.35">
      <c r="A6" s="1" t="s">
        <v>25</v>
      </c>
      <c r="B6" s="1" t="s">
        <v>26</v>
      </c>
      <c r="C6" t="s">
        <v>7</v>
      </c>
      <c r="D6" s="2">
        <f t="shared" si="0"/>
        <v>0.45833333333333331</v>
      </c>
    </row>
    <row r="7" spans="1:7" ht="43.5" x14ac:dyDescent="0.35">
      <c r="A7" s="1" t="s">
        <v>27</v>
      </c>
      <c r="B7" s="1" t="s">
        <v>28</v>
      </c>
      <c r="C7" t="s">
        <v>8</v>
      </c>
      <c r="D7" s="2">
        <f t="shared" si="0"/>
        <v>0.45833333333333331</v>
      </c>
      <c r="E7" s="2">
        <v>0.54166666666666663</v>
      </c>
      <c r="F7" s="2">
        <v>0.625</v>
      </c>
      <c r="G7" s="2">
        <v>0.70833333333333337</v>
      </c>
    </row>
    <row r="8" spans="1:7" ht="72.5" x14ac:dyDescent="0.35">
      <c r="A8" s="1" t="s">
        <v>29</v>
      </c>
      <c r="B8" s="1" t="s">
        <v>30</v>
      </c>
      <c r="C8" t="s">
        <v>5</v>
      </c>
      <c r="D8" s="2">
        <v>0.47916666666666669</v>
      </c>
    </row>
    <row r="9" spans="1:7" ht="101.5" x14ac:dyDescent="0.35">
      <c r="A9" s="1" t="s">
        <v>31</v>
      </c>
      <c r="B9" s="1" t="s">
        <v>32</v>
      </c>
      <c r="C9" t="s">
        <v>8</v>
      </c>
      <c r="D9" s="2">
        <v>0.5</v>
      </c>
    </row>
    <row r="10" spans="1:7" x14ac:dyDescent="0.35">
      <c r="A10" s="1" t="s">
        <v>9</v>
      </c>
      <c r="B10" s="1" t="s">
        <v>10</v>
      </c>
      <c r="C10" t="s">
        <v>11</v>
      </c>
      <c r="D10" s="2">
        <v>0.52083333333333337</v>
      </c>
    </row>
    <row r="11" spans="1:7" ht="29" x14ac:dyDescent="0.35">
      <c r="A11" s="1" t="s">
        <v>33</v>
      </c>
      <c r="B11" s="1" t="s">
        <v>34</v>
      </c>
      <c r="C11" t="s">
        <v>7</v>
      </c>
      <c r="D11" s="2">
        <f t="shared" si="0"/>
        <v>0.52083333333333337</v>
      </c>
    </row>
    <row r="12" spans="1:7" ht="87" x14ac:dyDescent="0.35">
      <c r="A12" s="1" t="s">
        <v>35</v>
      </c>
      <c r="B12" s="1" t="s">
        <v>36</v>
      </c>
      <c r="C12" t="s">
        <v>5</v>
      </c>
      <c r="D12" s="2">
        <v>0.54166666666666663</v>
      </c>
    </row>
    <row r="13" spans="1:7" ht="29" x14ac:dyDescent="0.35">
      <c r="A13" s="1" t="s">
        <v>37</v>
      </c>
      <c r="B13" s="1" t="s">
        <v>38</v>
      </c>
      <c r="C13" t="s">
        <v>6</v>
      </c>
      <c r="D13" s="2">
        <f t="shared" si="0"/>
        <v>0.54166666666666663</v>
      </c>
    </row>
    <row r="14" spans="1:7" ht="43.5" x14ac:dyDescent="0.35">
      <c r="A14" s="1" t="s">
        <v>12</v>
      </c>
      <c r="B14" s="1" t="s">
        <v>39</v>
      </c>
      <c r="C14" t="s">
        <v>7</v>
      </c>
      <c r="D14" s="2">
        <f t="shared" si="0"/>
        <v>0.54166666666666663</v>
      </c>
    </row>
    <row r="15" spans="1:7" ht="72.5" x14ac:dyDescent="0.35">
      <c r="A15" s="1" t="s">
        <v>40</v>
      </c>
      <c r="B15" s="1" t="s">
        <v>41</v>
      </c>
      <c r="C15" t="s">
        <v>5</v>
      </c>
      <c r="D15" s="2">
        <v>0.58333333333333337</v>
      </c>
    </row>
    <row r="16" spans="1:7" ht="58" x14ac:dyDescent="0.35">
      <c r="A16" s="1" t="s">
        <v>42</v>
      </c>
      <c r="B16" s="1" t="s">
        <v>43</v>
      </c>
      <c r="C16" t="s">
        <v>7</v>
      </c>
      <c r="D16" s="2">
        <f t="shared" si="0"/>
        <v>0.58333333333333337</v>
      </c>
    </row>
    <row r="17" spans="1:4" ht="58" x14ac:dyDescent="0.35">
      <c r="A17" s="1" t="s">
        <v>44</v>
      </c>
      <c r="B17" s="1" t="s">
        <v>45</v>
      </c>
      <c r="C17" t="s">
        <v>4</v>
      </c>
      <c r="D17" s="2">
        <v>0.60416666666666663</v>
      </c>
    </row>
    <row r="18" spans="1:4" ht="58" x14ac:dyDescent="0.35">
      <c r="A18" s="1" t="s">
        <v>46</v>
      </c>
      <c r="B18" s="1" t="s">
        <v>47</v>
      </c>
      <c r="C18" t="s">
        <v>5</v>
      </c>
      <c r="D18" s="2">
        <v>0.625</v>
      </c>
    </row>
    <row r="19" spans="1:4" ht="43.5" x14ac:dyDescent="0.35">
      <c r="A19" s="1" t="s">
        <v>48</v>
      </c>
      <c r="B19" s="1" t="s">
        <v>49</v>
      </c>
      <c r="C19" t="s">
        <v>7</v>
      </c>
      <c r="D19" s="2">
        <f t="shared" si="0"/>
        <v>0.625</v>
      </c>
    </row>
    <row r="20" spans="1:4" x14ac:dyDescent="0.35">
      <c r="A20" s="1" t="s">
        <v>37</v>
      </c>
      <c r="B20" t="s">
        <v>13</v>
      </c>
      <c r="C20" t="s">
        <v>6</v>
      </c>
      <c r="D20" s="2">
        <v>0.66666666666666663</v>
      </c>
    </row>
    <row r="21" spans="1:4" ht="43.5" x14ac:dyDescent="0.35">
      <c r="A21" s="1" t="s">
        <v>50</v>
      </c>
      <c r="B21" s="1" t="s">
        <v>51</v>
      </c>
      <c r="C21" t="s">
        <v>7</v>
      </c>
      <c r="D21" s="2">
        <f t="shared" si="0"/>
        <v>0.66666666666666663</v>
      </c>
    </row>
    <row r="22" spans="1:4" ht="58" x14ac:dyDescent="0.35">
      <c r="A22" s="1" t="s">
        <v>52</v>
      </c>
      <c r="B22" s="1" t="s">
        <v>53</v>
      </c>
      <c r="C22" t="s">
        <v>5</v>
      </c>
      <c r="D22" s="2">
        <f t="shared" si="0"/>
        <v>0.66666666666666663</v>
      </c>
    </row>
    <row r="23" spans="1:4" ht="58" x14ac:dyDescent="0.35">
      <c r="A23" s="1" t="s">
        <v>54</v>
      </c>
      <c r="B23" s="1" t="s">
        <v>55</v>
      </c>
      <c r="C23" t="s">
        <v>4</v>
      </c>
      <c r="D23" s="2">
        <v>0.70833333333333337</v>
      </c>
    </row>
    <row r="24" spans="1:4" ht="58" x14ac:dyDescent="0.35">
      <c r="A24" s="1" t="s">
        <v>56</v>
      </c>
      <c r="B24" s="1" t="s">
        <v>57</v>
      </c>
      <c r="C24" t="s">
        <v>7</v>
      </c>
      <c r="D24" s="2">
        <f t="shared" si="0"/>
        <v>0.70833333333333337</v>
      </c>
    </row>
    <row r="25" spans="1:4" ht="43.5" x14ac:dyDescent="0.35">
      <c r="A25" s="1" t="s">
        <v>58</v>
      </c>
      <c r="B25" s="1" t="s">
        <v>59</v>
      </c>
      <c r="C25" t="s">
        <v>6</v>
      </c>
      <c r="D25" s="2">
        <v>0.72916666666666663</v>
      </c>
    </row>
    <row r="26" spans="1:4" ht="43.5" x14ac:dyDescent="0.35">
      <c r="A26" s="1" t="s">
        <v>60</v>
      </c>
      <c r="B26" s="1" t="s">
        <v>59</v>
      </c>
      <c r="C26" t="s">
        <v>14</v>
      </c>
      <c r="D26" s="2">
        <f t="shared" si="0"/>
        <v>0.72916666666666663</v>
      </c>
    </row>
    <row r="27" spans="1:4" ht="58" x14ac:dyDescent="0.35">
      <c r="A27" s="1" t="s">
        <v>61</v>
      </c>
      <c r="B27" s="1" t="s">
        <v>62</v>
      </c>
      <c r="C27" t="s">
        <v>15</v>
      </c>
      <c r="D27" s="2">
        <v>0.75</v>
      </c>
    </row>
    <row r="28" spans="1:4" ht="87" x14ac:dyDescent="0.35">
      <c r="A28" s="1" t="s">
        <v>63</v>
      </c>
      <c r="B28" s="1" t="s">
        <v>64</v>
      </c>
      <c r="C28" t="s">
        <v>4</v>
      </c>
      <c r="D28" s="2">
        <f t="shared" si="0"/>
        <v>0.75</v>
      </c>
    </row>
    <row r="29" spans="1:4" ht="43.5" x14ac:dyDescent="0.35">
      <c r="A29" s="1" t="s">
        <v>65</v>
      </c>
      <c r="B29" s="1" t="s">
        <v>66</v>
      </c>
      <c r="C29" t="s">
        <v>16</v>
      </c>
      <c r="D29" s="2">
        <v>0.58333333333333337</v>
      </c>
    </row>
    <row r="30" spans="1:4" x14ac:dyDescent="0.35">
      <c r="D30" s="2"/>
    </row>
    <row r="31" spans="1:4" x14ac:dyDescent="0.35">
      <c r="D31" s="2"/>
    </row>
    <row r="32" spans="1:4" x14ac:dyDescent="0.35">
      <c r="D32" s="2"/>
    </row>
    <row r="33" spans="4:4" x14ac:dyDescent="0.35">
      <c r="D33" s="2"/>
    </row>
    <row r="34" spans="4:4" x14ac:dyDescent="0.35">
      <c r="D34" s="2"/>
    </row>
    <row r="35" spans="4:4" x14ac:dyDescent="0.35">
      <c r="D35" s="2"/>
    </row>
    <row r="36" spans="4:4" x14ac:dyDescent="0.35">
      <c r="D36" s="2"/>
    </row>
    <row r="37" spans="4:4" x14ac:dyDescent="0.35">
      <c r="D37" s="2"/>
    </row>
    <row r="38" spans="4:4" x14ac:dyDescent="0.35">
      <c r="D38" s="2"/>
    </row>
    <row r="39" spans="4:4" x14ac:dyDescent="0.35">
      <c r="D39" s="2"/>
    </row>
    <row r="40" spans="4:4" x14ac:dyDescent="0.35">
      <c r="D40" s="2"/>
    </row>
    <row r="41" spans="4:4" x14ac:dyDescent="0.35">
      <c r="D41" s="2"/>
    </row>
    <row r="42" spans="4:4" x14ac:dyDescent="0.35">
      <c r="D42" s="2"/>
    </row>
    <row r="43" spans="4:4" x14ac:dyDescent="0.35">
      <c r="D43" s="2"/>
    </row>
    <row r="44" spans="4:4" x14ac:dyDescent="0.35">
      <c r="D44" s="2"/>
    </row>
    <row r="45" spans="4:4" x14ac:dyDescent="0.35">
      <c r="D45" s="2"/>
    </row>
    <row r="46" spans="4:4" x14ac:dyDescent="0.35">
      <c r="D46" s="2"/>
    </row>
    <row r="47" spans="4:4" x14ac:dyDescent="0.35">
      <c r="D47" s="2"/>
    </row>
    <row r="48" spans="4:4" x14ac:dyDescent="0.35">
      <c r="D48" s="2"/>
    </row>
    <row r="49" spans="4:4" x14ac:dyDescent="0.35">
      <c r="D49" s="2"/>
    </row>
    <row r="50" spans="4:4" x14ac:dyDescent="0.35">
      <c r="D50" s="2"/>
    </row>
    <row r="51" spans="4:4" x14ac:dyDescent="0.35">
      <c r="D51" s="2"/>
    </row>
    <row r="52" spans="4:4" x14ac:dyDescent="0.35">
      <c r="D52" s="2"/>
    </row>
    <row r="53" spans="4:4" x14ac:dyDescent="0.35">
      <c r="D53" s="2"/>
    </row>
    <row r="54" spans="4:4" x14ac:dyDescent="0.35">
      <c r="D54" s="2"/>
    </row>
    <row r="55" spans="4:4" x14ac:dyDescent="0.35">
      <c r="D55" s="2"/>
    </row>
    <row r="56" spans="4:4" x14ac:dyDescent="0.35">
      <c r="D56" s="2"/>
    </row>
    <row r="57" spans="4:4" x14ac:dyDescent="0.35">
      <c r="D57" s="2"/>
    </row>
    <row r="58" spans="4:4" x14ac:dyDescent="0.35">
      <c r="D58" s="2"/>
    </row>
    <row r="59" spans="4:4" x14ac:dyDescent="0.35">
      <c r="D59" s="2"/>
    </row>
    <row r="60" spans="4:4" x14ac:dyDescent="0.35">
      <c r="D60" s="2"/>
    </row>
    <row r="61" spans="4:4" x14ac:dyDescent="0.35">
      <c r="D61" s="2"/>
    </row>
    <row r="62" spans="4:4" x14ac:dyDescent="0.35">
      <c r="D62" s="2"/>
    </row>
    <row r="63" spans="4:4" x14ac:dyDescent="0.35">
      <c r="D63" s="2"/>
    </row>
    <row r="64" spans="4:4" x14ac:dyDescent="0.35">
      <c r="D64" s="2"/>
    </row>
    <row r="65" spans="4:4" x14ac:dyDescent="0.35">
      <c r="D65" s="2"/>
    </row>
    <row r="66" spans="4:4" x14ac:dyDescent="0.35">
      <c r="D66" s="2"/>
    </row>
    <row r="67" spans="4:4" x14ac:dyDescent="0.35">
      <c r="D67" s="2"/>
    </row>
    <row r="68" spans="4:4" x14ac:dyDescent="0.35">
      <c r="D68" s="2"/>
    </row>
    <row r="69" spans="4:4" x14ac:dyDescent="0.35">
      <c r="D69" s="2"/>
    </row>
    <row r="70" spans="4:4" x14ac:dyDescent="0.35">
      <c r="D70" s="2"/>
    </row>
    <row r="71" spans="4:4" x14ac:dyDescent="0.35">
      <c r="D71" s="2"/>
    </row>
    <row r="72" spans="4:4" x14ac:dyDescent="0.35">
      <c r="D72" s="2"/>
    </row>
    <row r="73" spans="4:4" x14ac:dyDescent="0.35">
      <c r="D73" s="2"/>
    </row>
    <row r="74" spans="4:4" x14ac:dyDescent="0.35">
      <c r="D74" s="2"/>
    </row>
    <row r="75" spans="4:4" x14ac:dyDescent="0.35">
      <c r="D75" s="2"/>
    </row>
    <row r="76" spans="4:4" x14ac:dyDescent="0.35">
      <c r="D76" s="2"/>
    </row>
    <row r="77" spans="4:4" x14ac:dyDescent="0.35">
      <c r="D77" s="2"/>
    </row>
    <row r="78" spans="4:4" x14ac:dyDescent="0.35">
      <c r="D78" s="2"/>
    </row>
    <row r="79" spans="4:4" x14ac:dyDescent="0.35">
      <c r="D79" s="2"/>
    </row>
    <row r="80" spans="4:4" x14ac:dyDescent="0.35">
      <c r="D80" s="2"/>
    </row>
    <row r="81" spans="4:4" x14ac:dyDescent="0.35">
      <c r="D81" s="2"/>
    </row>
    <row r="82" spans="4:4" x14ac:dyDescent="0.35">
      <c r="D82" s="2"/>
    </row>
    <row r="83" spans="4:4" x14ac:dyDescent="0.35">
      <c r="D83" s="2"/>
    </row>
    <row r="84" spans="4:4" x14ac:dyDescent="0.35">
      <c r="D84" s="2"/>
    </row>
    <row r="85" spans="4:4" x14ac:dyDescent="0.35">
      <c r="D85" s="2"/>
    </row>
    <row r="86" spans="4:4" x14ac:dyDescent="0.35">
      <c r="D86" s="2"/>
    </row>
    <row r="87" spans="4:4" x14ac:dyDescent="0.35">
      <c r="D87" s="2"/>
    </row>
    <row r="88" spans="4:4" x14ac:dyDescent="0.35">
      <c r="D88" s="2"/>
    </row>
    <row r="89" spans="4:4" x14ac:dyDescent="0.35">
      <c r="D89" s="2"/>
    </row>
    <row r="90" spans="4:4" x14ac:dyDescent="0.35">
      <c r="D90" s="2"/>
    </row>
    <row r="91" spans="4:4" x14ac:dyDescent="0.35">
      <c r="D91" s="2"/>
    </row>
    <row r="92" spans="4:4" x14ac:dyDescent="0.35">
      <c r="D92" s="2"/>
    </row>
    <row r="93" spans="4:4" x14ac:dyDescent="0.35">
      <c r="D93" s="2"/>
    </row>
    <row r="94" spans="4:4" x14ac:dyDescent="0.35">
      <c r="D94" s="2"/>
    </row>
    <row r="95" spans="4:4" x14ac:dyDescent="0.35">
      <c r="D95" s="2"/>
    </row>
    <row r="96" spans="4:4" x14ac:dyDescent="0.35">
      <c r="D96" s="2"/>
    </row>
    <row r="97" spans="4:4" x14ac:dyDescent="0.35">
      <c r="D97" s="2"/>
    </row>
    <row r="98" spans="4:4" x14ac:dyDescent="0.35">
      <c r="D98" s="2"/>
    </row>
    <row r="99" spans="4:4" x14ac:dyDescent="0.35">
      <c r="D99" s="2"/>
    </row>
    <row r="100" spans="4:4" x14ac:dyDescent="0.35">
      <c r="D100" s="2"/>
    </row>
    <row r="101" spans="4:4" x14ac:dyDescent="0.35">
      <c r="D101" s="2"/>
    </row>
    <row r="102" spans="4:4" x14ac:dyDescent="0.35">
      <c r="D102" s="2"/>
    </row>
    <row r="103" spans="4:4" x14ac:dyDescent="0.35">
      <c r="D103" s="2"/>
    </row>
    <row r="104" spans="4:4" x14ac:dyDescent="0.35">
      <c r="D104" s="2"/>
    </row>
    <row r="105" spans="4:4" x14ac:dyDescent="0.35">
      <c r="D105" s="2"/>
    </row>
    <row r="106" spans="4:4" x14ac:dyDescent="0.35">
      <c r="D106" s="2"/>
    </row>
    <row r="107" spans="4:4" x14ac:dyDescent="0.35">
      <c r="D107" s="2"/>
    </row>
    <row r="108" spans="4:4" x14ac:dyDescent="0.35">
      <c r="D108" s="2"/>
    </row>
    <row r="109" spans="4:4" x14ac:dyDescent="0.35">
      <c r="D109" s="2"/>
    </row>
    <row r="110" spans="4:4" x14ac:dyDescent="0.35">
      <c r="D110" s="2"/>
    </row>
    <row r="111" spans="4:4" x14ac:dyDescent="0.35">
      <c r="D111" s="2"/>
    </row>
    <row r="112" spans="4:4" x14ac:dyDescent="0.35">
      <c r="D112" s="2"/>
    </row>
    <row r="113" spans="4:4" x14ac:dyDescent="0.35">
      <c r="D113" s="2"/>
    </row>
    <row r="114" spans="4:4" x14ac:dyDescent="0.35">
      <c r="D114" s="2"/>
    </row>
    <row r="115" spans="4:4" x14ac:dyDescent="0.35">
      <c r="D115" s="2"/>
    </row>
    <row r="116" spans="4:4" x14ac:dyDescent="0.35">
      <c r="D116" s="2"/>
    </row>
    <row r="117" spans="4:4" x14ac:dyDescent="0.35">
      <c r="D117" s="2"/>
    </row>
    <row r="118" spans="4:4" x14ac:dyDescent="0.35">
      <c r="D118" s="2"/>
    </row>
    <row r="119" spans="4:4" x14ac:dyDescent="0.35">
      <c r="D119" s="2"/>
    </row>
    <row r="120" spans="4:4" x14ac:dyDescent="0.35">
      <c r="D120" s="2"/>
    </row>
    <row r="121" spans="4:4" x14ac:dyDescent="0.35">
      <c r="D121" s="2"/>
    </row>
    <row r="122" spans="4:4" x14ac:dyDescent="0.35">
      <c r="D122" s="2"/>
    </row>
    <row r="123" spans="4:4" x14ac:dyDescent="0.35">
      <c r="D123" s="2"/>
    </row>
    <row r="124" spans="4:4" x14ac:dyDescent="0.35">
      <c r="D124" s="2"/>
    </row>
    <row r="125" spans="4:4" x14ac:dyDescent="0.35">
      <c r="D125" s="2"/>
    </row>
    <row r="126" spans="4:4" x14ac:dyDescent="0.35">
      <c r="D126" s="2"/>
    </row>
    <row r="127" spans="4:4" x14ac:dyDescent="0.35">
      <c r="D127" s="2"/>
    </row>
    <row r="128" spans="4:4" x14ac:dyDescent="0.35">
      <c r="D128" s="2"/>
    </row>
    <row r="129" spans="4:4" x14ac:dyDescent="0.35">
      <c r="D129" s="2"/>
    </row>
    <row r="130" spans="4:4" x14ac:dyDescent="0.35">
      <c r="D130" s="2"/>
    </row>
    <row r="131" spans="4:4" x14ac:dyDescent="0.35">
      <c r="D131" s="2"/>
    </row>
    <row r="132" spans="4:4" x14ac:dyDescent="0.35">
      <c r="D132" s="2"/>
    </row>
    <row r="133" spans="4:4" x14ac:dyDescent="0.35">
      <c r="D133" s="2"/>
    </row>
    <row r="134" spans="4:4" x14ac:dyDescent="0.35">
      <c r="D134" s="2"/>
    </row>
    <row r="135" spans="4:4" x14ac:dyDescent="0.35">
      <c r="D135" s="2"/>
    </row>
    <row r="136" spans="4:4" x14ac:dyDescent="0.35">
      <c r="D136" s="2"/>
    </row>
    <row r="137" spans="4:4" x14ac:dyDescent="0.35">
      <c r="D137" s="2"/>
    </row>
    <row r="138" spans="4:4" x14ac:dyDescent="0.35">
      <c r="D138" s="2"/>
    </row>
    <row r="139" spans="4:4" x14ac:dyDescent="0.35">
      <c r="D139" s="2"/>
    </row>
    <row r="140" spans="4:4" x14ac:dyDescent="0.35">
      <c r="D140" s="2"/>
    </row>
    <row r="141" spans="4:4" x14ac:dyDescent="0.35">
      <c r="D141" s="2"/>
    </row>
    <row r="142" spans="4:4" x14ac:dyDescent="0.35">
      <c r="D142" s="2"/>
    </row>
    <row r="143" spans="4:4" x14ac:dyDescent="0.35">
      <c r="D143" s="2"/>
    </row>
    <row r="144" spans="4:4" x14ac:dyDescent="0.35">
      <c r="D144" s="2"/>
    </row>
    <row r="145" spans="4:4" x14ac:dyDescent="0.35">
      <c r="D145" s="2"/>
    </row>
    <row r="146" spans="4:4" x14ac:dyDescent="0.35">
      <c r="D146" s="2"/>
    </row>
    <row r="147" spans="4:4" x14ac:dyDescent="0.35">
      <c r="D147" s="2"/>
    </row>
    <row r="148" spans="4:4" x14ac:dyDescent="0.35">
      <c r="D148" s="2"/>
    </row>
    <row r="149" spans="4:4" x14ac:dyDescent="0.35">
      <c r="D149" s="2"/>
    </row>
    <row r="150" spans="4:4" x14ac:dyDescent="0.35">
      <c r="D150" s="2"/>
    </row>
    <row r="151" spans="4:4" x14ac:dyDescent="0.35">
      <c r="D151" s="2"/>
    </row>
    <row r="152" spans="4:4" x14ac:dyDescent="0.35">
      <c r="D152" s="2"/>
    </row>
    <row r="153" spans="4:4" x14ac:dyDescent="0.35">
      <c r="D153" s="2"/>
    </row>
    <row r="154" spans="4:4" x14ac:dyDescent="0.35">
      <c r="D154" s="2"/>
    </row>
    <row r="155" spans="4:4" x14ac:dyDescent="0.35">
      <c r="D155" s="2"/>
    </row>
    <row r="156" spans="4:4" x14ac:dyDescent="0.35">
      <c r="D156" s="2"/>
    </row>
    <row r="157" spans="4:4" x14ac:dyDescent="0.35">
      <c r="D157" s="2"/>
    </row>
    <row r="158" spans="4:4" x14ac:dyDescent="0.35">
      <c r="D158" s="2"/>
    </row>
    <row r="159" spans="4:4" x14ac:dyDescent="0.35">
      <c r="D159" s="2"/>
    </row>
    <row r="160" spans="4:4" x14ac:dyDescent="0.35">
      <c r="D160" s="2"/>
    </row>
    <row r="161" spans="4:4" x14ac:dyDescent="0.35">
      <c r="D161" s="2"/>
    </row>
    <row r="162" spans="4:4" x14ac:dyDescent="0.35">
      <c r="D162" s="2"/>
    </row>
    <row r="163" spans="4:4" x14ac:dyDescent="0.35">
      <c r="D163" s="2"/>
    </row>
    <row r="164" spans="4:4" x14ac:dyDescent="0.35">
      <c r="D164" s="2"/>
    </row>
    <row r="165" spans="4:4" x14ac:dyDescent="0.35">
      <c r="D165" s="2"/>
    </row>
    <row r="166" spans="4:4" x14ac:dyDescent="0.35">
      <c r="D166" s="2"/>
    </row>
    <row r="167" spans="4:4" x14ac:dyDescent="0.35">
      <c r="D167" s="2"/>
    </row>
    <row r="168" spans="4:4" x14ac:dyDescent="0.35">
      <c r="D168" s="2"/>
    </row>
    <row r="169" spans="4:4" x14ac:dyDescent="0.35">
      <c r="D169" s="2"/>
    </row>
    <row r="170" spans="4:4" x14ac:dyDescent="0.35">
      <c r="D170" s="2"/>
    </row>
    <row r="171" spans="4:4" x14ac:dyDescent="0.35">
      <c r="D171" s="2"/>
    </row>
    <row r="172" spans="4:4" x14ac:dyDescent="0.35">
      <c r="D172" s="2"/>
    </row>
    <row r="173" spans="4:4" x14ac:dyDescent="0.35">
      <c r="D173" s="2"/>
    </row>
    <row r="174" spans="4:4" x14ac:dyDescent="0.35">
      <c r="D174" s="2"/>
    </row>
    <row r="175" spans="4:4" x14ac:dyDescent="0.35">
      <c r="D175" s="2"/>
    </row>
    <row r="176" spans="4:4" x14ac:dyDescent="0.35">
      <c r="D176" s="2"/>
    </row>
    <row r="177" spans="4:4" x14ac:dyDescent="0.35">
      <c r="D177" s="2"/>
    </row>
    <row r="178" spans="4:4" x14ac:dyDescent="0.35">
      <c r="D178" s="2"/>
    </row>
    <row r="179" spans="4:4" x14ac:dyDescent="0.35">
      <c r="D179" s="2"/>
    </row>
    <row r="180" spans="4:4" x14ac:dyDescent="0.35">
      <c r="D180" s="2"/>
    </row>
    <row r="181" spans="4:4" x14ac:dyDescent="0.35">
      <c r="D181" s="2"/>
    </row>
    <row r="182" spans="4:4" x14ac:dyDescent="0.35">
      <c r="D182" s="2"/>
    </row>
    <row r="183" spans="4:4" x14ac:dyDescent="0.35">
      <c r="D183" s="2"/>
    </row>
    <row r="184" spans="4:4" x14ac:dyDescent="0.35">
      <c r="D184" s="2"/>
    </row>
    <row r="185" spans="4:4" x14ac:dyDescent="0.35">
      <c r="D185" s="2"/>
    </row>
    <row r="186" spans="4:4" x14ac:dyDescent="0.35">
      <c r="D186" s="2"/>
    </row>
    <row r="187" spans="4:4" x14ac:dyDescent="0.35">
      <c r="D187" s="2"/>
    </row>
    <row r="188" spans="4:4" x14ac:dyDescent="0.35">
      <c r="D188" s="2"/>
    </row>
    <row r="189" spans="4:4" x14ac:dyDescent="0.35">
      <c r="D189" s="2"/>
    </row>
    <row r="190" spans="4:4" x14ac:dyDescent="0.35">
      <c r="D190" s="2"/>
    </row>
    <row r="191" spans="4:4" x14ac:dyDescent="0.35">
      <c r="D191" s="2"/>
    </row>
    <row r="192" spans="4:4" x14ac:dyDescent="0.35">
      <c r="D192" s="2"/>
    </row>
    <row r="193" spans="4:4" x14ac:dyDescent="0.35">
      <c r="D193" s="2"/>
    </row>
    <row r="194" spans="4:4" x14ac:dyDescent="0.35">
      <c r="D194" s="2"/>
    </row>
    <row r="195" spans="4:4" x14ac:dyDescent="0.35">
      <c r="D195" s="2"/>
    </row>
    <row r="196" spans="4:4" x14ac:dyDescent="0.35">
      <c r="D196" s="2"/>
    </row>
    <row r="197" spans="4:4" x14ac:dyDescent="0.35">
      <c r="D197" s="2"/>
    </row>
    <row r="198" spans="4:4" x14ac:dyDescent="0.35">
      <c r="D198" s="2"/>
    </row>
    <row r="199" spans="4:4" x14ac:dyDescent="0.35">
      <c r="D199" s="2"/>
    </row>
    <row r="200" spans="4:4" x14ac:dyDescent="0.35">
      <c r="D200" s="2"/>
    </row>
    <row r="201" spans="4:4" x14ac:dyDescent="0.35">
      <c r="D201" s="2"/>
    </row>
    <row r="202" spans="4:4" x14ac:dyDescent="0.35">
      <c r="D202" s="2"/>
    </row>
    <row r="203" spans="4:4" x14ac:dyDescent="0.35">
      <c r="D203" s="2"/>
    </row>
    <row r="204" spans="4:4" x14ac:dyDescent="0.35">
      <c r="D204" s="2"/>
    </row>
    <row r="205" spans="4:4" x14ac:dyDescent="0.35">
      <c r="D205" s="2"/>
    </row>
    <row r="206" spans="4:4" x14ac:dyDescent="0.35">
      <c r="D206" s="2"/>
    </row>
    <row r="207" spans="4:4" x14ac:dyDescent="0.35">
      <c r="D207" s="2"/>
    </row>
    <row r="208" spans="4:4" x14ac:dyDescent="0.35">
      <c r="D208" s="2"/>
    </row>
    <row r="209" spans="4:4" x14ac:dyDescent="0.35">
      <c r="D209" s="2"/>
    </row>
    <row r="210" spans="4:4" x14ac:dyDescent="0.35">
      <c r="D210" s="2"/>
    </row>
    <row r="211" spans="4:4" x14ac:dyDescent="0.35">
      <c r="D211" s="2"/>
    </row>
    <row r="212" spans="4:4" x14ac:dyDescent="0.35">
      <c r="D212" s="2"/>
    </row>
    <row r="213" spans="4:4" x14ac:dyDescent="0.35">
      <c r="D213" s="2"/>
    </row>
    <row r="214" spans="4:4" x14ac:dyDescent="0.35">
      <c r="D214" s="2"/>
    </row>
    <row r="215" spans="4:4" x14ac:dyDescent="0.35">
      <c r="D215" s="2"/>
    </row>
    <row r="216" spans="4:4" x14ac:dyDescent="0.35">
      <c r="D216" s="2"/>
    </row>
    <row r="217" spans="4:4" x14ac:dyDescent="0.35">
      <c r="D217" s="2"/>
    </row>
    <row r="218" spans="4:4" x14ac:dyDescent="0.35">
      <c r="D218" s="2"/>
    </row>
    <row r="219" spans="4:4" x14ac:dyDescent="0.35">
      <c r="D219" s="2"/>
    </row>
    <row r="220" spans="4:4" x14ac:dyDescent="0.35">
      <c r="D220" s="2"/>
    </row>
    <row r="221" spans="4:4" x14ac:dyDescent="0.35">
      <c r="D221" s="2"/>
    </row>
    <row r="222" spans="4:4" x14ac:dyDescent="0.35">
      <c r="D222" s="2"/>
    </row>
    <row r="223" spans="4:4" x14ac:dyDescent="0.35">
      <c r="D223" s="2"/>
    </row>
    <row r="224" spans="4:4" x14ac:dyDescent="0.35">
      <c r="D224" s="2"/>
    </row>
    <row r="225" spans="4:4" x14ac:dyDescent="0.35">
      <c r="D225" s="2"/>
    </row>
    <row r="226" spans="4:4" x14ac:dyDescent="0.35">
      <c r="D226" s="2"/>
    </row>
    <row r="227" spans="4:4" x14ac:dyDescent="0.35">
      <c r="D227" s="2"/>
    </row>
    <row r="228" spans="4:4" x14ac:dyDescent="0.35">
      <c r="D228" s="2"/>
    </row>
    <row r="229" spans="4:4" x14ac:dyDescent="0.35">
      <c r="D229" s="2"/>
    </row>
    <row r="230" spans="4:4" x14ac:dyDescent="0.35">
      <c r="D230" s="2"/>
    </row>
    <row r="231" spans="4:4" x14ac:dyDescent="0.35">
      <c r="D231" s="2"/>
    </row>
    <row r="232" spans="4:4" x14ac:dyDescent="0.35">
      <c r="D232" s="2"/>
    </row>
    <row r="233" spans="4:4" x14ac:dyDescent="0.35">
      <c r="D233" s="2"/>
    </row>
    <row r="234" spans="4:4" x14ac:dyDescent="0.35">
      <c r="D234" s="2"/>
    </row>
    <row r="235" spans="4:4" x14ac:dyDescent="0.35">
      <c r="D235" s="2"/>
    </row>
    <row r="236" spans="4:4" x14ac:dyDescent="0.35">
      <c r="D236" s="2"/>
    </row>
    <row r="237" spans="4:4" x14ac:dyDescent="0.35">
      <c r="D237" s="2"/>
    </row>
    <row r="238" spans="4:4" x14ac:dyDescent="0.35">
      <c r="D238" s="2"/>
    </row>
    <row r="239" spans="4:4" x14ac:dyDescent="0.35">
      <c r="D239" s="2"/>
    </row>
    <row r="240" spans="4:4" x14ac:dyDescent="0.35">
      <c r="D240" s="2"/>
    </row>
    <row r="241" spans="4:4" x14ac:dyDescent="0.35">
      <c r="D241" s="2"/>
    </row>
    <row r="242" spans="4:4" x14ac:dyDescent="0.35">
      <c r="D242" s="2"/>
    </row>
    <row r="243" spans="4:4" x14ac:dyDescent="0.35">
      <c r="D243" s="2"/>
    </row>
    <row r="244" spans="4:4" x14ac:dyDescent="0.35">
      <c r="D244" s="2"/>
    </row>
    <row r="245" spans="4:4" x14ac:dyDescent="0.35">
      <c r="D245" s="2"/>
    </row>
    <row r="246" spans="4:4" x14ac:dyDescent="0.35">
      <c r="D246" s="2"/>
    </row>
    <row r="247" spans="4:4" x14ac:dyDescent="0.35">
      <c r="D247" s="2"/>
    </row>
    <row r="248" spans="4:4" x14ac:dyDescent="0.35">
      <c r="D248" s="2"/>
    </row>
    <row r="249" spans="4:4" x14ac:dyDescent="0.35">
      <c r="D249" s="2"/>
    </row>
    <row r="250" spans="4:4" x14ac:dyDescent="0.35">
      <c r="D250" s="2"/>
    </row>
    <row r="251" spans="4:4" x14ac:dyDescent="0.35">
      <c r="D251" s="2"/>
    </row>
    <row r="252" spans="4:4" x14ac:dyDescent="0.35">
      <c r="D252" s="2"/>
    </row>
    <row r="253" spans="4:4" x14ac:dyDescent="0.35">
      <c r="D253" s="2"/>
    </row>
    <row r="254" spans="4:4" x14ac:dyDescent="0.35">
      <c r="D254" s="2"/>
    </row>
    <row r="255" spans="4:4" x14ac:dyDescent="0.35">
      <c r="D255" s="2"/>
    </row>
    <row r="256" spans="4:4" x14ac:dyDescent="0.35">
      <c r="D256" s="2"/>
    </row>
    <row r="257" spans="4:4" x14ac:dyDescent="0.35">
      <c r="D257" s="2"/>
    </row>
    <row r="258" spans="4:4" x14ac:dyDescent="0.35">
      <c r="D258" s="2"/>
    </row>
    <row r="259" spans="4:4" x14ac:dyDescent="0.35">
      <c r="D259" s="2"/>
    </row>
    <row r="260" spans="4:4" x14ac:dyDescent="0.35">
      <c r="D260" s="2"/>
    </row>
    <row r="261" spans="4:4" x14ac:dyDescent="0.35">
      <c r="D261" s="2"/>
    </row>
    <row r="262" spans="4:4" x14ac:dyDescent="0.35">
      <c r="D262" s="2"/>
    </row>
    <row r="263" spans="4:4" x14ac:dyDescent="0.35">
      <c r="D263" s="2"/>
    </row>
    <row r="264" spans="4:4" x14ac:dyDescent="0.35">
      <c r="D264" s="2"/>
    </row>
    <row r="265" spans="4:4" x14ac:dyDescent="0.35">
      <c r="D265" s="2"/>
    </row>
    <row r="266" spans="4:4" x14ac:dyDescent="0.35">
      <c r="D266" s="2"/>
    </row>
    <row r="267" spans="4:4" x14ac:dyDescent="0.35">
      <c r="D267" s="2"/>
    </row>
    <row r="268" spans="4:4" x14ac:dyDescent="0.35">
      <c r="D268" s="2"/>
    </row>
    <row r="269" spans="4:4" x14ac:dyDescent="0.35">
      <c r="D269" s="2"/>
    </row>
    <row r="270" spans="4:4" x14ac:dyDescent="0.35">
      <c r="D270" s="2"/>
    </row>
    <row r="271" spans="4:4" x14ac:dyDescent="0.35">
      <c r="D271" s="2"/>
    </row>
    <row r="272" spans="4:4" x14ac:dyDescent="0.35">
      <c r="D272" s="2"/>
    </row>
    <row r="273" spans="4:4" x14ac:dyDescent="0.35">
      <c r="D273" s="2"/>
    </row>
    <row r="274" spans="4:4" x14ac:dyDescent="0.35">
      <c r="D274" s="2"/>
    </row>
    <row r="275" spans="4:4" x14ac:dyDescent="0.35">
      <c r="D275" s="2"/>
    </row>
    <row r="276" spans="4:4" x14ac:dyDescent="0.35">
      <c r="D276" s="2"/>
    </row>
    <row r="277" spans="4:4" x14ac:dyDescent="0.35">
      <c r="D277" s="2"/>
    </row>
    <row r="278" spans="4:4" x14ac:dyDescent="0.35">
      <c r="D278" s="2"/>
    </row>
    <row r="279" spans="4:4" x14ac:dyDescent="0.35">
      <c r="D279" s="2"/>
    </row>
    <row r="280" spans="4:4" x14ac:dyDescent="0.35">
      <c r="D280" s="2"/>
    </row>
    <row r="281" spans="4:4" x14ac:dyDescent="0.35">
      <c r="D281" s="2"/>
    </row>
    <row r="282" spans="4:4" x14ac:dyDescent="0.35">
      <c r="D282" s="2"/>
    </row>
    <row r="283" spans="4:4" x14ac:dyDescent="0.35">
      <c r="D283" s="2"/>
    </row>
    <row r="284" spans="4:4" x14ac:dyDescent="0.35">
      <c r="D284" s="2"/>
    </row>
    <row r="285" spans="4:4" x14ac:dyDescent="0.35">
      <c r="D285" s="2"/>
    </row>
    <row r="286" spans="4:4" x14ac:dyDescent="0.35">
      <c r="D286" s="2"/>
    </row>
    <row r="287" spans="4:4" x14ac:dyDescent="0.35">
      <c r="D287" s="2"/>
    </row>
    <row r="288" spans="4:4" x14ac:dyDescent="0.35">
      <c r="D288" s="2"/>
    </row>
    <row r="289" spans="4:4" x14ac:dyDescent="0.35">
      <c r="D289" s="2"/>
    </row>
    <row r="290" spans="4:4" x14ac:dyDescent="0.35">
      <c r="D290" s="2"/>
    </row>
    <row r="291" spans="4:4" x14ac:dyDescent="0.35">
      <c r="D291" s="2"/>
    </row>
    <row r="292" spans="4:4" x14ac:dyDescent="0.35">
      <c r="D292" s="2"/>
    </row>
    <row r="293" spans="4:4" x14ac:dyDescent="0.35">
      <c r="D293" s="2"/>
    </row>
    <row r="294" spans="4:4" x14ac:dyDescent="0.35">
      <c r="D294" s="2"/>
    </row>
    <row r="295" spans="4:4" x14ac:dyDescent="0.35">
      <c r="D295" s="2"/>
    </row>
    <row r="296" spans="4:4" x14ac:dyDescent="0.35">
      <c r="D296" s="2"/>
    </row>
    <row r="297" spans="4:4" x14ac:dyDescent="0.35">
      <c r="D297" s="2"/>
    </row>
    <row r="298" spans="4:4" x14ac:dyDescent="0.35">
      <c r="D298" s="2"/>
    </row>
    <row r="299" spans="4:4" x14ac:dyDescent="0.35">
      <c r="D299" s="2"/>
    </row>
    <row r="300" spans="4:4" x14ac:dyDescent="0.35">
      <c r="D300" s="2"/>
    </row>
    <row r="301" spans="4:4" x14ac:dyDescent="0.35">
      <c r="D301" s="2"/>
    </row>
    <row r="302" spans="4:4" x14ac:dyDescent="0.35">
      <c r="D302" s="2"/>
    </row>
    <row r="303" spans="4:4" x14ac:dyDescent="0.35">
      <c r="D303" s="2"/>
    </row>
    <row r="304" spans="4:4" x14ac:dyDescent="0.35">
      <c r="D304" s="2"/>
    </row>
    <row r="305" spans="4:4" x14ac:dyDescent="0.35">
      <c r="D305" s="2"/>
    </row>
    <row r="306" spans="4:4" x14ac:dyDescent="0.35">
      <c r="D306" s="2"/>
    </row>
    <row r="307" spans="4:4" x14ac:dyDescent="0.35">
      <c r="D307" s="2"/>
    </row>
    <row r="308" spans="4:4" x14ac:dyDescent="0.35">
      <c r="D308" s="2"/>
    </row>
    <row r="309" spans="4:4" x14ac:dyDescent="0.35">
      <c r="D309" s="2"/>
    </row>
    <row r="310" spans="4:4" x14ac:dyDescent="0.35">
      <c r="D310" s="2"/>
    </row>
    <row r="311" spans="4:4" x14ac:dyDescent="0.35">
      <c r="D311" s="2"/>
    </row>
    <row r="312" spans="4:4" x14ac:dyDescent="0.35">
      <c r="D312" s="2"/>
    </row>
    <row r="313" spans="4:4" x14ac:dyDescent="0.35">
      <c r="D313" s="2"/>
    </row>
    <row r="314" spans="4:4" x14ac:dyDescent="0.35">
      <c r="D314" s="2"/>
    </row>
    <row r="315" spans="4:4" x14ac:dyDescent="0.35">
      <c r="D315" s="2"/>
    </row>
    <row r="316" spans="4:4" x14ac:dyDescent="0.35">
      <c r="D316" s="2"/>
    </row>
    <row r="317" spans="4:4" x14ac:dyDescent="0.35">
      <c r="D317" s="2"/>
    </row>
    <row r="318" spans="4:4" x14ac:dyDescent="0.35">
      <c r="D318" s="2"/>
    </row>
    <row r="319" spans="4:4" x14ac:dyDescent="0.35">
      <c r="D319" s="2"/>
    </row>
    <row r="320" spans="4:4" x14ac:dyDescent="0.35">
      <c r="D320" s="2"/>
    </row>
    <row r="321" spans="4:4" x14ac:dyDescent="0.35">
      <c r="D321" s="2"/>
    </row>
    <row r="322" spans="4:4" x14ac:dyDescent="0.35">
      <c r="D322" s="2"/>
    </row>
    <row r="323" spans="4:4" x14ac:dyDescent="0.35">
      <c r="D323" s="2"/>
    </row>
    <row r="324" spans="4:4" x14ac:dyDescent="0.35">
      <c r="D324" s="2"/>
    </row>
    <row r="325" spans="4:4" x14ac:dyDescent="0.35">
      <c r="D325" s="2"/>
    </row>
    <row r="326" spans="4:4" x14ac:dyDescent="0.35">
      <c r="D326" s="2"/>
    </row>
    <row r="327" spans="4:4" x14ac:dyDescent="0.35">
      <c r="D327" s="2"/>
    </row>
    <row r="328" spans="4:4" x14ac:dyDescent="0.35">
      <c r="D328" s="2"/>
    </row>
    <row r="329" spans="4:4" x14ac:dyDescent="0.35">
      <c r="D329" s="2"/>
    </row>
    <row r="330" spans="4:4" x14ac:dyDescent="0.35">
      <c r="D330" s="2"/>
    </row>
    <row r="331" spans="4:4" x14ac:dyDescent="0.35">
      <c r="D331" s="2"/>
    </row>
    <row r="332" spans="4:4" x14ac:dyDescent="0.35">
      <c r="D332" s="2"/>
    </row>
    <row r="333" spans="4:4" x14ac:dyDescent="0.35">
      <c r="D333" s="2"/>
    </row>
    <row r="334" spans="4:4" x14ac:dyDescent="0.35">
      <c r="D334" s="2"/>
    </row>
    <row r="335" spans="4:4" x14ac:dyDescent="0.35">
      <c r="D335" s="2"/>
    </row>
    <row r="336" spans="4:4" x14ac:dyDescent="0.35">
      <c r="D336" s="2"/>
    </row>
    <row r="337" spans="4:4" x14ac:dyDescent="0.35">
      <c r="D337" s="2"/>
    </row>
    <row r="338" spans="4:4" x14ac:dyDescent="0.35">
      <c r="D338" s="2"/>
    </row>
    <row r="339" spans="4:4" x14ac:dyDescent="0.35">
      <c r="D339" s="2"/>
    </row>
    <row r="340" spans="4:4" x14ac:dyDescent="0.35">
      <c r="D340" s="2"/>
    </row>
    <row r="341" spans="4:4" x14ac:dyDescent="0.35">
      <c r="D341" s="2"/>
    </row>
    <row r="342" spans="4:4" x14ac:dyDescent="0.35">
      <c r="D342" s="2"/>
    </row>
    <row r="343" spans="4:4" x14ac:dyDescent="0.35">
      <c r="D343" s="2"/>
    </row>
    <row r="344" spans="4:4" x14ac:dyDescent="0.35">
      <c r="D344" s="2"/>
    </row>
    <row r="345" spans="4:4" x14ac:dyDescent="0.35">
      <c r="D345" s="2"/>
    </row>
    <row r="346" spans="4:4" x14ac:dyDescent="0.35">
      <c r="D346" s="2"/>
    </row>
    <row r="347" spans="4:4" x14ac:dyDescent="0.35">
      <c r="D347" s="2"/>
    </row>
    <row r="348" spans="4:4" x14ac:dyDescent="0.35">
      <c r="D348" s="2"/>
    </row>
    <row r="349" spans="4:4" x14ac:dyDescent="0.35">
      <c r="D349" s="2"/>
    </row>
    <row r="350" spans="4:4" x14ac:dyDescent="0.35">
      <c r="D350" s="2"/>
    </row>
    <row r="351" spans="4:4" x14ac:dyDescent="0.35">
      <c r="D351" s="2"/>
    </row>
    <row r="352" spans="4:4" x14ac:dyDescent="0.35">
      <c r="D352" s="2"/>
    </row>
    <row r="353" spans="4:4" x14ac:dyDescent="0.35">
      <c r="D353" s="2"/>
    </row>
    <row r="354" spans="4:4" x14ac:dyDescent="0.35">
      <c r="D354" s="2"/>
    </row>
    <row r="355" spans="4:4" x14ac:dyDescent="0.35">
      <c r="D355" s="2"/>
    </row>
    <row r="356" spans="4:4" x14ac:dyDescent="0.35">
      <c r="D356" s="2"/>
    </row>
    <row r="357" spans="4:4" x14ac:dyDescent="0.35">
      <c r="D357" s="2"/>
    </row>
    <row r="358" spans="4:4" x14ac:dyDescent="0.35">
      <c r="D358" s="2"/>
    </row>
    <row r="359" spans="4:4" x14ac:dyDescent="0.35">
      <c r="D359" s="2"/>
    </row>
    <row r="360" spans="4:4" x14ac:dyDescent="0.35">
      <c r="D360" s="2"/>
    </row>
    <row r="361" spans="4:4" x14ac:dyDescent="0.35">
      <c r="D361" s="2"/>
    </row>
    <row r="362" spans="4:4" x14ac:dyDescent="0.35">
      <c r="D362" s="2"/>
    </row>
    <row r="363" spans="4:4" x14ac:dyDescent="0.35">
      <c r="D363" s="2"/>
    </row>
    <row r="364" spans="4:4" x14ac:dyDescent="0.35">
      <c r="D364" s="2"/>
    </row>
    <row r="365" spans="4:4" x14ac:dyDescent="0.35">
      <c r="D365" s="2"/>
    </row>
    <row r="366" spans="4:4" x14ac:dyDescent="0.35">
      <c r="D366" s="2"/>
    </row>
    <row r="367" spans="4:4" x14ac:dyDescent="0.35">
      <c r="D367" s="2"/>
    </row>
    <row r="368" spans="4:4" x14ac:dyDescent="0.35">
      <c r="D368" s="2"/>
    </row>
    <row r="369" spans="4:4" x14ac:dyDescent="0.35">
      <c r="D369" s="2"/>
    </row>
    <row r="370" spans="4:4" x14ac:dyDescent="0.35">
      <c r="D370" s="2"/>
    </row>
    <row r="371" spans="4:4" x14ac:dyDescent="0.35">
      <c r="D371" s="2"/>
    </row>
    <row r="372" spans="4:4" x14ac:dyDescent="0.35">
      <c r="D372" s="2"/>
    </row>
    <row r="373" spans="4:4" x14ac:dyDescent="0.35">
      <c r="D373" s="2"/>
    </row>
    <row r="374" spans="4:4" x14ac:dyDescent="0.35">
      <c r="D374" s="2"/>
    </row>
    <row r="375" spans="4:4" x14ac:dyDescent="0.35">
      <c r="D375" s="2"/>
    </row>
    <row r="376" spans="4:4" x14ac:dyDescent="0.35">
      <c r="D376" s="2"/>
    </row>
    <row r="377" spans="4:4" x14ac:dyDescent="0.35">
      <c r="D377" s="2"/>
    </row>
    <row r="378" spans="4:4" x14ac:dyDescent="0.35">
      <c r="D378" s="2"/>
    </row>
    <row r="379" spans="4:4" x14ac:dyDescent="0.35">
      <c r="D379" s="2"/>
    </row>
    <row r="380" spans="4:4" x14ac:dyDescent="0.35">
      <c r="D380" s="2"/>
    </row>
    <row r="381" spans="4:4" x14ac:dyDescent="0.35">
      <c r="D381" s="2"/>
    </row>
    <row r="382" spans="4:4" x14ac:dyDescent="0.35">
      <c r="D382" s="2"/>
    </row>
    <row r="383" spans="4:4" x14ac:dyDescent="0.35">
      <c r="D383" s="2"/>
    </row>
    <row r="384" spans="4:4" x14ac:dyDescent="0.35">
      <c r="D384" s="2"/>
    </row>
    <row r="385" spans="4:4" x14ac:dyDescent="0.35">
      <c r="D385" s="2"/>
    </row>
    <row r="386" spans="4:4" x14ac:dyDescent="0.35">
      <c r="D386" s="2"/>
    </row>
    <row r="387" spans="4:4" x14ac:dyDescent="0.35">
      <c r="D387" s="2"/>
    </row>
    <row r="388" spans="4:4" x14ac:dyDescent="0.35">
      <c r="D388" s="2"/>
    </row>
    <row r="389" spans="4:4" x14ac:dyDescent="0.35">
      <c r="D389" s="2"/>
    </row>
    <row r="390" spans="4:4" x14ac:dyDescent="0.35">
      <c r="D390" s="2"/>
    </row>
    <row r="391" spans="4:4" x14ac:dyDescent="0.35">
      <c r="D391" s="2"/>
    </row>
    <row r="392" spans="4:4" x14ac:dyDescent="0.35">
      <c r="D392" s="2"/>
    </row>
    <row r="393" spans="4:4" x14ac:dyDescent="0.35">
      <c r="D393" s="2"/>
    </row>
    <row r="394" spans="4:4" x14ac:dyDescent="0.35">
      <c r="D394" s="2"/>
    </row>
    <row r="395" spans="4:4" x14ac:dyDescent="0.35">
      <c r="D395" s="2"/>
    </row>
    <row r="396" spans="4:4" x14ac:dyDescent="0.35">
      <c r="D396" s="2"/>
    </row>
    <row r="397" spans="4:4" x14ac:dyDescent="0.35">
      <c r="D397" s="2"/>
    </row>
    <row r="398" spans="4:4" x14ac:dyDescent="0.35">
      <c r="D398" s="2"/>
    </row>
    <row r="399" spans="4:4" x14ac:dyDescent="0.35">
      <c r="D399" s="2"/>
    </row>
    <row r="400" spans="4:4" x14ac:dyDescent="0.35">
      <c r="D400" s="2"/>
    </row>
    <row r="401" spans="4:4" x14ac:dyDescent="0.35">
      <c r="D401" s="2"/>
    </row>
    <row r="402" spans="4:4" x14ac:dyDescent="0.35">
      <c r="D402" s="2"/>
    </row>
    <row r="403" spans="4:4" x14ac:dyDescent="0.35">
      <c r="D403" s="2"/>
    </row>
    <row r="404" spans="4:4" x14ac:dyDescent="0.35">
      <c r="D404" s="2"/>
    </row>
    <row r="405" spans="4:4" x14ac:dyDescent="0.35">
      <c r="D405" s="2"/>
    </row>
    <row r="406" spans="4:4" x14ac:dyDescent="0.35">
      <c r="D406" s="2"/>
    </row>
    <row r="407" spans="4:4" x14ac:dyDescent="0.35">
      <c r="D407" s="2"/>
    </row>
    <row r="408" spans="4:4" x14ac:dyDescent="0.35">
      <c r="D408" s="2"/>
    </row>
    <row r="409" spans="4:4" x14ac:dyDescent="0.35">
      <c r="D409" s="2"/>
    </row>
    <row r="410" spans="4:4" x14ac:dyDescent="0.35">
      <c r="D410" s="2"/>
    </row>
    <row r="411" spans="4:4" x14ac:dyDescent="0.35">
      <c r="D411" s="2"/>
    </row>
    <row r="412" spans="4:4" x14ac:dyDescent="0.35">
      <c r="D412" s="2"/>
    </row>
    <row r="413" spans="4:4" x14ac:dyDescent="0.35">
      <c r="D413" s="2"/>
    </row>
    <row r="414" spans="4:4" x14ac:dyDescent="0.35">
      <c r="D414" s="2"/>
    </row>
    <row r="415" spans="4:4" x14ac:dyDescent="0.35">
      <c r="D415" s="2"/>
    </row>
    <row r="416" spans="4:4" x14ac:dyDescent="0.35">
      <c r="D416" s="2"/>
    </row>
    <row r="417" spans="4:4" x14ac:dyDescent="0.35">
      <c r="D417" s="2"/>
    </row>
    <row r="418" spans="4:4" x14ac:dyDescent="0.35">
      <c r="D418" s="2"/>
    </row>
    <row r="419" spans="4:4" x14ac:dyDescent="0.35">
      <c r="D419" s="2"/>
    </row>
    <row r="420" spans="4:4" x14ac:dyDescent="0.35">
      <c r="D420" s="2"/>
    </row>
    <row r="421" spans="4:4" x14ac:dyDescent="0.35">
      <c r="D421" s="2"/>
    </row>
    <row r="422" spans="4:4" x14ac:dyDescent="0.35">
      <c r="D422" s="2"/>
    </row>
    <row r="423" spans="4:4" x14ac:dyDescent="0.35">
      <c r="D423" s="2"/>
    </row>
    <row r="424" spans="4:4" x14ac:dyDescent="0.35">
      <c r="D424" s="2"/>
    </row>
    <row r="425" spans="4:4" x14ac:dyDescent="0.35">
      <c r="D425" s="2"/>
    </row>
    <row r="426" spans="4:4" x14ac:dyDescent="0.35">
      <c r="D426" s="2"/>
    </row>
    <row r="427" spans="4:4" x14ac:dyDescent="0.35">
      <c r="D427" s="2"/>
    </row>
    <row r="428" spans="4:4" x14ac:dyDescent="0.35">
      <c r="D428" s="2"/>
    </row>
    <row r="429" spans="4:4" x14ac:dyDescent="0.35">
      <c r="D429" s="2"/>
    </row>
    <row r="430" spans="4:4" x14ac:dyDescent="0.35">
      <c r="D430" s="2"/>
    </row>
    <row r="431" spans="4:4" x14ac:dyDescent="0.35">
      <c r="D43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5E9E-CCD5-4498-A606-F0FBEB54CF51}">
  <sheetPr codeName="Sheet1"/>
  <dimension ref="A1:K55"/>
  <sheetViews>
    <sheetView zoomScale="190" zoomScaleNormal="190" workbookViewId="0">
      <selection activeCell="A13" sqref="A13:XFD13"/>
    </sheetView>
  </sheetViews>
  <sheetFormatPr defaultRowHeight="14.5" x14ac:dyDescent="0.35"/>
  <cols>
    <col min="4" max="4" width="43.453125" bestFit="1" customWidth="1"/>
    <col min="6" max="6" width="34.81640625" customWidth="1"/>
    <col min="7" max="7" width="19.54296875" style="4" customWidth="1"/>
    <col min="11" max="11" width="19.54296875" customWidth="1"/>
  </cols>
  <sheetData>
    <row r="1" spans="1:11" x14ac:dyDescent="0.35">
      <c r="A1">
        <v>1</v>
      </c>
      <c r="C1" t="s">
        <v>67</v>
      </c>
      <c r="J1" t="str">
        <f>IF(C1&gt;"","&lt;tr&gt;&lt;/tr&gt;&lt;tr&gt;&lt;th colspan=""2""&gt;"&amp;C1&amp;"&lt;/th&gt;&lt;/tr&gt;","&lt;tr&gt;&lt;td&gt;"&amp;D1&amp;"&lt;/td&gt;&lt;td&gt;"&amp;F1&amp;"&lt;div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1" x14ac:dyDescent="0.35">
      <c r="A2">
        <v>3</v>
      </c>
      <c r="D2" t="s">
        <v>102</v>
      </c>
      <c r="F2" t="s">
        <v>135</v>
      </c>
      <c r="G2" s="4" t="s">
        <v>146</v>
      </c>
      <c r="H2">
        <v>18</v>
      </c>
      <c r="J2" t="str">
        <f t="shared" ref="J2:J55" si="0">IF(C2&gt;"","&lt;tr&gt;&lt;/tr&gt;&lt;tr&gt;&lt;th colspan=""2""&gt;"&amp;C2&amp;"&lt;/th&gt;&lt;/tr&gt;","&lt;tr&gt;&lt;td&gt;"&amp;D2&amp;"&lt;/td&gt;&lt;td&gt;"&amp;F2&amp;"&lt;div class=""location""&gt;&lt;span data-time="""&amp;G2&amp;""" data-number="""&amp;H2&amp;""" onclick=""place_pin(this)"" class=""map""&gt;&lt;/span&gt;&lt;/div&gt;"&amp;IF(E2="","","&lt;div class=""note""&gt;"&amp;E2&amp;"&lt;/div&gt;")&amp;"&lt;/td&gt;&lt;/tr&gt;")</f>
        <v>&lt;tr&gt;&lt;td&gt;Continental Artillery&lt;/td&gt;&lt;td&gt;Begin the day as Continental forces load and fire the cannon typical of the Revolutionary War&lt;div class="location"&gt;&lt;span data-time="9:00" data-number="18" onclick="place_pin(this)" class="map"&gt;&lt;/span&gt;&lt;/div&gt;&lt;/td&gt;&lt;/tr&gt;</v>
      </c>
      <c r="K2" s="3"/>
    </row>
    <row r="3" spans="1:11" x14ac:dyDescent="0.3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1" x14ac:dyDescent="0.35">
      <c r="A4">
        <v>6</v>
      </c>
      <c r="D4" t="s">
        <v>69</v>
      </c>
      <c r="F4" t="s">
        <v>110</v>
      </c>
      <c r="G4" s="4" t="s">
        <v>147</v>
      </c>
      <c r="H4">
        <v>23</v>
      </c>
      <c r="J4" t="str">
        <f t="shared" si="0"/>
        <v>&lt;tr&gt;&lt;td&gt;Colonial School&lt;/td&gt;&lt;td&gt;Children attend school for academic, etiquette, and moral lessons of the day&lt;div class="location"&gt;&lt;span data-time="10:00" data-number="23" onclick="place_pin(this)" class="map"&gt;&lt;/span&gt;&lt;/div&gt;&lt;/td&gt;&lt;/tr&gt;</v>
      </c>
      <c r="K4" s="3"/>
    </row>
    <row r="5" spans="1:11" x14ac:dyDescent="0.35">
      <c r="A5">
        <v>8</v>
      </c>
      <c r="D5" t="s">
        <v>143</v>
      </c>
      <c r="F5" t="s">
        <v>111</v>
      </c>
      <c r="G5" s="4" t="s">
        <v>148</v>
      </c>
      <c r="H5">
        <v>19</v>
      </c>
      <c r="J5" t="str">
        <f t="shared" si="0"/>
        <v>&lt;tr&gt;&lt;td&gt;British  Swordplay&lt;/td&gt;&lt;td&gt;Watch British military demonstrate offensive and defensive techniques&lt;div class="location"&gt;&lt;span data-time="10:15" data-number="19" onclick="place_pin(this)" class="map"&gt;&lt;/span&gt;&lt;/div&gt;&lt;/td&gt;&lt;/tr&gt;</v>
      </c>
      <c r="K5" s="3"/>
    </row>
    <row r="6" spans="1:11" x14ac:dyDescent="0.35">
      <c r="A6">
        <v>9</v>
      </c>
      <c r="D6" t="s">
        <v>70</v>
      </c>
      <c r="F6" t="s">
        <v>112</v>
      </c>
      <c r="G6" s="4" t="s">
        <v>148</v>
      </c>
      <c r="H6">
        <v>3</v>
      </c>
      <c r="J6" t="str">
        <f t="shared" si="0"/>
        <v>&lt;tr&gt;&lt;td&gt;Patrick Henry&lt;/td&gt;&lt;td&gt;A conversation with one of the revolution’s top orators&lt;div class="location"&gt;&lt;span data-time="10:15" data-number="3" onclick="place_pin(this)" class="map"&gt;&lt;/span&gt;&lt;/div&gt;&lt;/td&gt;&lt;/tr&gt;</v>
      </c>
      <c r="K6" s="3"/>
    </row>
    <row r="7" spans="1:11" x14ac:dyDescent="0.35">
      <c r="A7">
        <v>10</v>
      </c>
      <c r="D7" t="s">
        <v>71</v>
      </c>
      <c r="F7" t="s">
        <v>113</v>
      </c>
      <c r="G7" s="4" t="s">
        <v>149</v>
      </c>
      <c r="H7">
        <v>20</v>
      </c>
      <c r="J7" t="str">
        <f t="shared" si="0"/>
        <v>&lt;tr&gt;&lt;td&gt;Unfurling History&lt;/td&gt;&lt;td&gt;Learn the history of the flags of the American Revolution&lt;div class="location"&gt;&lt;span data-time="10:30" data-number="20" onclick="place_pin(this)" class="map"&gt;&lt;/span&gt;&lt;/div&gt;&lt;/td&gt;&lt;/tr&gt;</v>
      </c>
    </row>
    <row r="8" spans="1:11" x14ac:dyDescent="0.35">
      <c r="A8">
        <v>11</v>
      </c>
      <c r="D8" t="s">
        <v>72</v>
      </c>
      <c r="F8" t="s">
        <v>114</v>
      </c>
      <c r="G8" s="4" t="s">
        <v>150</v>
      </c>
      <c r="H8">
        <v>26</v>
      </c>
      <c r="J8" t="str">
        <f t="shared" si="0"/>
        <v>&lt;tr&gt;&lt;td&gt;British Muster &amp; Drill&lt;/td&gt;&lt;td&gt;The King’s forces maneuver and drill, preparing to suppress the rebellion&lt;div class="location"&gt;&lt;span data-time="10:45" data-number="26" onclick="place_pin(this)" class="map"&gt;&lt;/span&gt;&lt;/div&gt;&lt;/td&gt;&lt;/tr&gt;</v>
      </c>
      <c r="K8" s="3"/>
    </row>
    <row r="9" spans="1:11" x14ac:dyDescent="0.35">
      <c r="A9">
        <v>12</v>
      </c>
      <c r="C9" t="s">
        <v>73</v>
      </c>
      <c r="J9" t="str">
        <f t="shared" si="0"/>
        <v>&lt;tr&gt;&lt;/tr&gt;&lt;tr&gt;&lt;th colspan="2"&gt;11:00 am Hour&lt;/th&gt;&lt;/tr&gt;</v>
      </c>
    </row>
    <row r="10" spans="1:11" x14ac:dyDescent="0.35">
      <c r="A10">
        <v>13</v>
      </c>
      <c r="D10" t="s">
        <v>74</v>
      </c>
      <c r="F10" t="s">
        <v>136</v>
      </c>
      <c r="G10" s="4" t="s">
        <v>151</v>
      </c>
      <c r="H10">
        <v>23</v>
      </c>
      <c r="J10" t="str">
        <f t="shared" si="0"/>
        <v>&lt;tr&gt;&lt;td&gt;Patriots in Petticoats&lt;/td&gt;&lt;td&gt;Contributions of lesser-known women to American Independence&lt;div class="location"&gt;&lt;span data-time="11:00" data-number="23" onclick="place_pin(this)" class="map"&gt;&lt;/span&gt;&lt;/div&gt;&lt;/td&gt;&lt;/tr&gt;</v>
      </c>
      <c r="K10" s="3"/>
    </row>
    <row r="11" spans="1:11" x14ac:dyDescent="0.35">
      <c r="A11">
        <v>16</v>
      </c>
      <c r="D11" t="s">
        <v>100</v>
      </c>
      <c r="F11" t="s">
        <v>115</v>
      </c>
      <c r="G11" s="4" t="s">
        <v>151</v>
      </c>
      <c r="H11">
        <v>19</v>
      </c>
      <c r="J11" t="str">
        <f t="shared" si="0"/>
        <v>&lt;tr&gt;&lt;td&gt;Dance Instruction&lt;/td&gt;&lt;td&gt;Join this favorite pastime and learn some favorite colonial dances&lt;div class="location"&gt;&lt;span data-time="11:00" data-number="19" onclick="place_pin(this)" class="map"&gt;&lt;/span&gt;&lt;/div&gt;&lt;/td&gt;&lt;/tr&gt;</v>
      </c>
    </row>
    <row r="12" spans="1:11" x14ac:dyDescent="0.35">
      <c r="A12">
        <v>18</v>
      </c>
      <c r="D12" t="s">
        <v>75</v>
      </c>
      <c r="E12" t="s">
        <v>76</v>
      </c>
      <c r="F12" t="s">
        <v>137</v>
      </c>
      <c r="G12" s="4" t="s">
        <v>151</v>
      </c>
      <c r="H12">
        <v>3</v>
      </c>
      <c r="J12" t="str">
        <f t="shared" si="0"/>
        <v>&lt;tr&gt;&lt;td&gt;Tea Tax Debate&lt;/td&gt;&lt;td&gt;Decide if you will march on the ships in the harbor that carry the King’s tea&lt;div class="location"&gt;&lt;span data-time="11:00" data-number="3" onclick="place_pin(this)" class="map"&gt;&lt;/span&gt;&lt;/div&gt;&lt;div class="note"&gt;arrive early to participate&lt;/div&gt;&lt;/td&gt;&lt;/tr&gt;</v>
      </c>
      <c r="K12" s="3"/>
    </row>
    <row r="13" spans="1:11" x14ac:dyDescent="0.35">
      <c r="A13">
        <v>21</v>
      </c>
      <c r="D13" t="s">
        <v>107</v>
      </c>
      <c r="F13" t="s">
        <v>116</v>
      </c>
      <c r="G13" s="4" t="s">
        <v>151</v>
      </c>
      <c r="H13">
        <v>3</v>
      </c>
      <c r="J13" t="str">
        <f t="shared" si="0"/>
        <v>&lt;tr&gt;&lt;td&gt;Patrick Ferguson&lt;/td&gt;&lt;td&gt;Listen to the Revolutionary War’s top marksman. Will you enlist?&lt;div class="location"&gt;&lt;span data-time="11:00" data-number="3" onclick="place_pin(this)" class="map"&gt;&lt;/span&gt;&lt;/div&gt;&lt;/td&gt;&lt;/tr&gt;</v>
      </c>
      <c r="K13" s="3"/>
    </row>
    <row r="14" spans="1:11" x14ac:dyDescent="0.35">
      <c r="A14">
        <v>25</v>
      </c>
      <c r="D14" t="s">
        <v>77</v>
      </c>
      <c r="E14" t="s">
        <v>144</v>
      </c>
      <c r="F14" t="s">
        <v>117</v>
      </c>
      <c r="G14" s="4" t="s">
        <v>151</v>
      </c>
      <c r="H14">
        <v>13</v>
      </c>
      <c r="J14" t="str">
        <f t="shared" si="0"/>
        <v>&lt;tr&gt;&lt;td&gt;Elevenses&lt;/td&gt;&lt;td&gt;Taste a traditional colonial drink, biscuits and tarts while you sit and visit with the founders about the ideas of the revolution&lt;div class="location"&gt;&lt;span data-time="11:00" data-number="13" onclick="place_pin(this)" class="map"&gt;&lt;/span&gt;&lt;/div&gt;&lt;div class="note"&gt;ages 16 &amp; older limited seating donations urged&lt;/div&gt;&lt;/td&gt;&lt;/tr&gt;</v>
      </c>
      <c r="K14" s="3"/>
    </row>
    <row r="15" spans="1:11" x14ac:dyDescent="0.35">
      <c r="A15">
        <v>27</v>
      </c>
      <c r="D15" t="s">
        <v>101</v>
      </c>
      <c r="F15" t="s">
        <v>118</v>
      </c>
      <c r="G15" s="4" t="s">
        <v>152</v>
      </c>
      <c r="H15">
        <v>20</v>
      </c>
      <c r="J15" t="str">
        <f t="shared" si="0"/>
        <v>&lt;tr&gt;&lt;td&gt;American Militiaman&lt;/td&gt;&lt;td&gt;Find out why the American militia was so critical to the revolution&lt;div class="location"&gt;&lt;span data-time="11:30" data-number="20" onclick="place_pin(this)" class="map"&gt;&lt;/span&gt;&lt;/div&gt;&lt;/td&gt;&lt;/tr&gt;</v>
      </c>
      <c r="K15" s="3"/>
    </row>
    <row r="16" spans="1:11" x14ac:dyDescent="0.35">
      <c r="A16">
        <v>28</v>
      </c>
      <c r="D16" t="s">
        <v>79</v>
      </c>
      <c r="F16" t="s">
        <v>119</v>
      </c>
      <c r="G16" s="4" t="s">
        <v>152</v>
      </c>
      <c r="H16">
        <v>23</v>
      </c>
      <c r="J16" t="str">
        <f t="shared" si="0"/>
        <v>&lt;tr&gt;&lt;td&gt;Never Caught&lt;/td&gt;&lt;td&gt;Hear the adventures of Ona Judge, escaped from servitude at Mt. Vernon&lt;div class="location"&gt;&lt;span data-time="11:30" data-number="23" onclick="place_pin(this)" class="map"&gt;&lt;/span&gt;&lt;/div&gt;&lt;/td&gt;&lt;/tr&gt;</v>
      </c>
      <c r="K16" s="3"/>
    </row>
    <row r="17" spans="1:11" x14ac:dyDescent="0.35">
      <c r="A17">
        <v>30</v>
      </c>
      <c r="D17" t="s">
        <v>145</v>
      </c>
      <c r="E17" t="s">
        <v>76</v>
      </c>
      <c r="F17" t="s">
        <v>120</v>
      </c>
      <c r="G17" s="4" t="s">
        <v>152</v>
      </c>
      <c r="H17">
        <v>18</v>
      </c>
      <c r="J17" t="str">
        <f t="shared" si="0"/>
        <v>&lt;tr&gt;&lt;td&gt;Children’s Militia&lt;/td&gt;&lt;td&gt;Young patriots join the militia to muster as they march through the Colonial Village and fire some rounds&lt;div class="location"&gt;&lt;span data-time="11:30" data-number="18" onclick="place_pin(this)" class="map"&gt;&lt;/span&gt;&lt;/div&gt;&lt;div class="note"&gt;arrive early to participate&lt;/div&gt;&lt;/td&gt;&lt;/tr&gt;</v>
      </c>
      <c r="K17" s="3"/>
    </row>
    <row r="18" spans="1:11" x14ac:dyDescent="0.35">
      <c r="A18">
        <v>32</v>
      </c>
      <c r="D18" t="s">
        <v>80</v>
      </c>
      <c r="E18" t="s">
        <v>78</v>
      </c>
      <c r="F18" t="s">
        <v>121</v>
      </c>
      <c r="G18" s="4" t="s">
        <v>152</v>
      </c>
      <c r="H18">
        <v>34</v>
      </c>
      <c r="J18" t="str">
        <f t="shared" si="0"/>
        <v>&lt;tr&gt;&lt;td&gt;Calligraphy I&lt;/td&gt;&lt;td&gt;Beginners use pencil to learn the basic strokes that form 18th century script&lt;div class="location"&gt;&lt;span data-time="11:30" data-number="34" onclick="place_pin(this)" class="map"&gt;&lt;/span&gt;&lt;/div&gt;&lt;div class="note"&gt;limited seating&lt;/div&gt;&lt;/td&gt;&lt;/tr&gt;</v>
      </c>
      <c r="K18" s="3"/>
    </row>
    <row r="19" spans="1:11" x14ac:dyDescent="0.35">
      <c r="A19">
        <v>33</v>
      </c>
      <c r="C19" t="s">
        <v>81</v>
      </c>
      <c r="J19" t="str">
        <f t="shared" si="0"/>
        <v>&lt;tr&gt;&lt;/tr&gt;&lt;tr&gt;&lt;th colspan="2"&gt;Noon Hour&lt;/th&gt;&lt;/tr&gt;</v>
      </c>
    </row>
    <row r="20" spans="1:11" x14ac:dyDescent="0.35">
      <c r="A20">
        <v>34</v>
      </c>
      <c r="D20" t="s">
        <v>82</v>
      </c>
      <c r="F20" t="s">
        <v>138</v>
      </c>
      <c r="G20" s="4" t="s">
        <v>153</v>
      </c>
      <c r="H20">
        <v>3</v>
      </c>
      <c r="J20" t="str">
        <f t="shared" si="0"/>
        <v>&lt;tr&gt;&lt;td&gt;Galvez and Rochambeau&lt;/td&gt;&lt;td&gt;A discussion of the roles of Spanish and French military in the American Revolution&lt;div class="location"&gt;&lt;span data-time="12:00" data-number="3" onclick="place_pin(this)" class="map"&gt;&lt;/span&gt;&lt;/div&gt;&lt;/td&gt;&lt;/tr&gt;</v>
      </c>
      <c r="K20" s="3"/>
    </row>
    <row r="21" spans="1:11" x14ac:dyDescent="0.35">
      <c r="A21">
        <v>35</v>
      </c>
      <c r="D21" t="s">
        <v>69</v>
      </c>
      <c r="F21" t="s">
        <v>110</v>
      </c>
      <c r="G21" s="4" t="s">
        <v>153</v>
      </c>
      <c r="H21">
        <v>23</v>
      </c>
      <c r="J21" t="str">
        <f t="shared" si="0"/>
        <v>&lt;tr&gt;&lt;td&gt;Colonial School&lt;/td&gt;&lt;td&gt;Children attend school for academic, etiquette, and moral lessons of the day&lt;div class="location"&gt;&lt;span data-time="12:00" data-number="23" onclick="place_pin(this)" class="map"&gt;&lt;/span&gt;&lt;/div&gt;&lt;/td&gt;&lt;/tr&gt;</v>
      </c>
      <c r="K21" s="3"/>
    </row>
    <row r="22" spans="1:11" x14ac:dyDescent="0.35">
      <c r="A22">
        <v>37</v>
      </c>
      <c r="D22" t="s">
        <v>83</v>
      </c>
      <c r="E22" t="s">
        <v>76</v>
      </c>
      <c r="F22" t="s">
        <v>122</v>
      </c>
      <c r="G22" s="4" t="s">
        <v>153</v>
      </c>
      <c r="H22">
        <v>23</v>
      </c>
      <c r="J22" t="str">
        <f t="shared" si="0"/>
        <v>&lt;tr&gt;&lt;td&gt;Piracy Trial&lt;/td&gt;&lt;td&gt;Participate in the Admiralty Court. Will we hang another pirate?&lt;div class="location"&gt;&lt;span data-time="12:00" data-number="23" onclick="place_pin(this)" class="map"&gt;&lt;/span&gt;&lt;/div&gt;&lt;div class="note"&gt;arrive early to participate&lt;/div&gt;&lt;/td&gt;&lt;/tr&gt;</v>
      </c>
      <c r="K22" s="3"/>
    </row>
    <row r="23" spans="1:11" x14ac:dyDescent="0.35">
      <c r="A23">
        <v>39</v>
      </c>
      <c r="D23" t="s">
        <v>84</v>
      </c>
      <c r="E23" t="s">
        <v>78</v>
      </c>
      <c r="F23" t="s">
        <v>123</v>
      </c>
      <c r="G23" s="4" t="s">
        <v>154</v>
      </c>
      <c r="H23">
        <v>13</v>
      </c>
      <c r="J23" t="str">
        <f t="shared" si="0"/>
        <v>&lt;tr&gt;&lt;td&gt;Lucet Class&lt;/td&gt;&lt;td&gt;Learn to work this ancient tool to make cord for laces, draw-strings, etc.&lt;div class="location"&gt;&lt;span data-time="12:30" data-number="13" onclick="place_pin(this)" class="map"&gt;&lt;/span&gt;&lt;/div&gt;&lt;div class="note"&gt;limited seating&lt;/div&gt;&lt;/td&gt;&lt;/tr&gt;</v>
      </c>
      <c r="K23" s="3"/>
    </row>
    <row r="24" spans="1:11" x14ac:dyDescent="0.35">
      <c r="A24">
        <v>41</v>
      </c>
      <c r="D24" t="s">
        <v>102</v>
      </c>
      <c r="F24" t="s">
        <v>139</v>
      </c>
      <c r="G24" s="4" t="s">
        <v>154</v>
      </c>
      <c r="H24">
        <v>18</v>
      </c>
      <c r="J24" t="str">
        <f t="shared" si="0"/>
        <v>&lt;tr&gt;&lt;td&gt;Continental Artillery&lt;/td&gt;&lt;td&gt;Join as Continental forces load and fire the cannon typical of the Revolutionary War&lt;div class="location"&gt;&lt;span data-time="12:30" data-number="18" onclick="place_pin(this)" class="map"&gt;&lt;/span&gt;&lt;/div&gt;&lt;/td&gt;&lt;/tr&gt;</v>
      </c>
      <c r="K24" s="3"/>
    </row>
    <row r="25" spans="1:11" x14ac:dyDescent="0.35">
      <c r="A25">
        <v>44</v>
      </c>
      <c r="D25" t="s">
        <v>85</v>
      </c>
      <c r="E25" t="s">
        <v>78</v>
      </c>
      <c r="F25" t="s">
        <v>124</v>
      </c>
      <c r="G25" s="4" t="s">
        <v>154</v>
      </c>
      <c r="H25">
        <v>34</v>
      </c>
      <c r="J25" t="str">
        <f t="shared" si="0"/>
        <v>&lt;tr&gt;&lt;td&gt;Shut-the-Box&lt;/td&gt;&lt;td&gt;Enter a tournament playing a popular game of chance and skill for a prize&lt;div class="location"&gt;&lt;span data-time="12:30" data-number="34" onclick="place_pin(this)" class="map"&gt;&lt;/span&gt;&lt;/div&gt;&lt;div class="note"&gt;limited seating&lt;/div&gt;&lt;/td&gt;&lt;/tr&gt;</v>
      </c>
      <c r="K25" s="3"/>
    </row>
    <row r="26" spans="1:11" x14ac:dyDescent="0.35">
      <c r="A26">
        <v>45</v>
      </c>
      <c r="D26" t="s">
        <v>86</v>
      </c>
      <c r="F26" t="s">
        <v>125</v>
      </c>
      <c r="G26" s="4" t="s">
        <v>154</v>
      </c>
      <c r="H26">
        <v>39</v>
      </c>
      <c r="J26" t="str">
        <f t="shared" si="0"/>
        <v>&lt;tr&gt;&lt;td&gt;Gunpowder Incident&lt;/td&gt;&lt;td&gt;Listen to the “true tale” of the appropriation of the people’s gunpowder by Virginia’s governor. Will the governor respond?&lt;div class="location"&gt;&lt;span data-time="12:30" data-number="39" onclick="place_pin(this)" class="map"&gt;&lt;/span&gt;&lt;/div&gt;&lt;/td&gt;&lt;/tr&gt;</v>
      </c>
      <c r="K26" s="3"/>
    </row>
    <row r="27" spans="1:11" x14ac:dyDescent="0.35">
      <c r="A27">
        <v>47</v>
      </c>
      <c r="D27" t="s">
        <v>103</v>
      </c>
      <c r="F27" t="s">
        <v>140</v>
      </c>
      <c r="G27" s="4" t="s">
        <v>155</v>
      </c>
      <c r="H27">
        <v>20</v>
      </c>
      <c r="J27" t="str">
        <f t="shared" si="0"/>
        <v>&lt;tr&gt;&lt;td&gt;James Madison&lt;/td&gt;&lt;td&gt;A conversation with the Father of the Constitution of the United States&lt;div class="location"&gt;&lt;span data-time="12:45" data-number="20" onclick="place_pin(this)" class="map"&gt;&lt;/span&gt;&lt;/div&gt;&lt;/td&gt;&lt;/tr&gt;</v>
      </c>
      <c r="K27" s="3"/>
    </row>
    <row r="28" spans="1:11" x14ac:dyDescent="0.35">
      <c r="A28">
        <v>49</v>
      </c>
      <c r="C28" t="s">
        <v>87</v>
      </c>
      <c r="J28" t="str">
        <f t="shared" si="0"/>
        <v>&lt;tr&gt;&lt;/tr&gt;&lt;tr&gt;&lt;th colspan="2"&gt;1:00 pm Hour&lt;/th&gt;&lt;/tr&gt;</v>
      </c>
    </row>
    <row r="29" spans="1:11" x14ac:dyDescent="0.35">
      <c r="A29">
        <v>51</v>
      </c>
      <c r="D29" t="s">
        <v>104</v>
      </c>
      <c r="F29" t="s">
        <v>126</v>
      </c>
      <c r="G29" s="4" t="s">
        <v>156</v>
      </c>
      <c r="H29">
        <v>19</v>
      </c>
      <c r="J29" t="str">
        <f t="shared" si="0"/>
        <v>&lt;tr&gt;&lt;td&gt;Colonial Folk Songs&lt;/td&gt;&lt;td&gt;Enjoy some of the lesser-known songs of the American colonial era&lt;div class="location"&gt;&lt;span data-time="1:00" data-number="19" onclick="place_pin(this)" class="map"&gt;&lt;/span&gt;&lt;/div&gt;&lt;/td&gt;&lt;/tr&gt;</v>
      </c>
      <c r="K29" s="3"/>
    </row>
    <row r="30" spans="1:11" x14ac:dyDescent="0.35">
      <c r="A30">
        <v>53</v>
      </c>
      <c r="D30" t="s">
        <v>105</v>
      </c>
      <c r="F30" t="s">
        <v>127</v>
      </c>
      <c r="G30" s="4" t="s">
        <v>156</v>
      </c>
      <c r="H30">
        <v>23</v>
      </c>
      <c r="J30" t="str">
        <f t="shared" si="0"/>
        <v>&lt;tr&gt;&lt;td&gt;Sybil Luddington&lt;/td&gt;&lt;td&gt;You’ve heard of Paul Revere’s ride; now listen to Sybil tell of her harrowing ride&lt;div class="location"&gt;&lt;span data-time="1:00" data-number="23" onclick="place_pin(this)" class="map"&gt;&lt;/span&gt;&lt;/div&gt;&lt;/td&gt;&lt;/tr&gt;</v>
      </c>
      <c r="K30" s="3"/>
    </row>
    <row r="31" spans="1:11" x14ac:dyDescent="0.35">
      <c r="A31">
        <v>55</v>
      </c>
      <c r="D31" t="s">
        <v>106</v>
      </c>
      <c r="F31" t="s">
        <v>111</v>
      </c>
      <c r="G31" s="4" t="s">
        <v>157</v>
      </c>
      <c r="H31">
        <v>19</v>
      </c>
      <c r="J31" t="str">
        <f t="shared" si="0"/>
        <v>&lt;tr&gt;&lt;td&gt;British Swordplay&lt;/td&gt;&lt;td&gt;Watch British military demonstrate offensive and defensive techniques&lt;div class="location"&gt;&lt;span data-time="1:30" data-number="19" onclick="place_pin(this)" class="map"&gt;&lt;/span&gt;&lt;/div&gt;&lt;/td&gt;&lt;/tr&gt;</v>
      </c>
      <c r="K31" s="3"/>
    </row>
    <row r="32" spans="1:11" x14ac:dyDescent="0.35">
      <c r="A32">
        <v>56</v>
      </c>
      <c r="D32" t="s">
        <v>88</v>
      </c>
      <c r="F32" t="s">
        <v>89</v>
      </c>
      <c r="G32" s="4" t="s">
        <v>157</v>
      </c>
      <c r="H32">
        <v>3</v>
      </c>
      <c r="J32" t="str">
        <f t="shared" si="0"/>
        <v>&lt;tr&gt;&lt;td&gt;Declaration of Independence&lt;/td&gt;&lt;td&gt;Hear the Declaration of Independence as read by Founding Fathers and others affected by its ideas&lt;div class="location"&gt;&lt;span data-time="1:30" data-number="3" onclick="place_pin(this)" class="map"&gt;&lt;/span&gt;&lt;/div&gt;&lt;/td&gt;&lt;/tr&gt;</v>
      </c>
      <c r="K32" s="3"/>
    </row>
    <row r="33" spans="1:11" x14ac:dyDescent="0.35">
      <c r="A33">
        <v>58</v>
      </c>
      <c r="D33" t="s">
        <v>71</v>
      </c>
      <c r="F33" t="s">
        <v>113</v>
      </c>
      <c r="G33" s="4" t="s">
        <v>158</v>
      </c>
      <c r="H33">
        <v>20</v>
      </c>
      <c r="J33" t="str">
        <f t="shared" si="0"/>
        <v>&lt;tr&gt;&lt;td&gt;Unfurling History&lt;/td&gt;&lt;td&gt;Learn the history of the flags of the American Revolution&lt;div class="location"&gt;&lt;span data-time="1:45" data-number="20" onclick="place_pin(this)" class="map"&gt;&lt;/span&gt;&lt;/div&gt;&lt;/td&gt;&lt;/tr&gt;</v>
      </c>
      <c r="K33" s="3"/>
    </row>
    <row r="34" spans="1:11" x14ac:dyDescent="0.35">
      <c r="A34">
        <v>59</v>
      </c>
      <c r="D34" t="s">
        <v>72</v>
      </c>
      <c r="F34" t="s">
        <v>114</v>
      </c>
      <c r="G34" s="4" t="s">
        <v>158</v>
      </c>
      <c r="H34">
        <v>26</v>
      </c>
      <c r="J34" t="str">
        <f t="shared" si="0"/>
        <v>&lt;tr&gt;&lt;td&gt;British Muster &amp; Drill&lt;/td&gt;&lt;td&gt;The King’s forces maneuver and drill, preparing to suppress the rebellion&lt;div class="location"&gt;&lt;span data-time="1:45" data-number="26" onclick="place_pin(this)" class="map"&gt;&lt;/span&gt;&lt;/div&gt;&lt;/td&gt;&lt;/tr&gt;</v>
      </c>
      <c r="K34" s="3"/>
    </row>
    <row r="35" spans="1:11" x14ac:dyDescent="0.35">
      <c r="A35">
        <v>60</v>
      </c>
      <c r="C35" t="s">
        <v>90</v>
      </c>
      <c r="J35" t="str">
        <f t="shared" si="0"/>
        <v>&lt;tr&gt;&lt;/tr&gt;&lt;tr&gt;&lt;th colspan="2"&gt;2:00 pm Hour&lt;/th&gt;&lt;/tr&gt;</v>
      </c>
    </row>
    <row r="36" spans="1:11" x14ac:dyDescent="0.35">
      <c r="A36">
        <v>61</v>
      </c>
      <c r="D36" t="s">
        <v>69</v>
      </c>
      <c r="F36" t="s">
        <v>110</v>
      </c>
      <c r="G36" s="4" t="s">
        <v>159</v>
      </c>
      <c r="H36">
        <v>23</v>
      </c>
      <c r="J36" t="str">
        <f t="shared" si="0"/>
        <v>&lt;tr&gt;&lt;td&gt;Colonial School&lt;/td&gt;&lt;td&gt;Children attend school for academic, etiquette, and moral lessons of the day&lt;div class="location"&gt;&lt;span data-time="2:00" data-number="23" onclick="place_pin(this)" class="map"&gt;&lt;/span&gt;&lt;/div&gt;&lt;/td&gt;&lt;/tr&gt;</v>
      </c>
      <c r="K36" s="3"/>
    </row>
    <row r="37" spans="1:11" x14ac:dyDescent="0.35">
      <c r="A37">
        <v>65</v>
      </c>
      <c r="D37" t="s">
        <v>91</v>
      </c>
      <c r="E37" t="s">
        <v>144</v>
      </c>
      <c r="F37" t="s">
        <v>141</v>
      </c>
      <c r="G37" s="4" t="s">
        <v>159</v>
      </c>
      <c r="H37">
        <v>13</v>
      </c>
      <c r="J37" t="str">
        <f t="shared" si="0"/>
        <v>&lt;tr&gt;&lt;td&gt;Break bread with the Brits&lt;/td&gt;&lt;td&gt;Taste a traditional colonial drink, breads and jellies while you discuss happenings in the rebellious colonies with those loyal to the crown&lt;div class="location"&gt;&lt;span data-time="2:00" data-number="13" onclick="place_pin(this)" class="map"&gt;&lt;/span&gt;&lt;/div&gt;&lt;div class="note"&gt;ages 16 &amp; older limited seating donations urged&lt;/div&gt;&lt;/td&gt;&lt;/tr&gt;</v>
      </c>
      <c r="K37" s="3"/>
    </row>
    <row r="38" spans="1:11" x14ac:dyDescent="0.35">
      <c r="A38">
        <v>68</v>
      </c>
      <c r="D38" t="s">
        <v>92</v>
      </c>
      <c r="E38" t="s">
        <v>76</v>
      </c>
      <c r="F38" t="s">
        <v>128</v>
      </c>
      <c r="G38" s="4" t="s">
        <v>160</v>
      </c>
      <c r="H38">
        <v>3</v>
      </c>
      <c r="J38" t="str">
        <f t="shared" si="0"/>
        <v>&lt;tr&gt;&lt;td&gt;Hog-theft Trial&lt;/td&gt;&lt;td&gt;One colonist is accused of stealing a hog. Watch the wheels of British justice turn and help decide the fate of the accused&lt;div class="location"&gt;&lt;span data-time="2:45" data-number="3" onclick="place_pin(this)" class="map"&gt;&lt;/span&gt;&lt;/div&gt;&lt;div class="note"&gt;arrive early to participate&lt;/div&gt;&lt;/td&gt;&lt;/tr&gt;</v>
      </c>
      <c r="K38" s="3"/>
    </row>
    <row r="39" spans="1:11" x14ac:dyDescent="0.35">
      <c r="A39">
        <v>69</v>
      </c>
      <c r="D39" t="s">
        <v>93</v>
      </c>
      <c r="F39" t="s">
        <v>129</v>
      </c>
      <c r="G39" s="4" t="s">
        <v>160</v>
      </c>
      <c r="H39">
        <v>20</v>
      </c>
      <c r="J39" t="str">
        <f t="shared" si="0"/>
        <v>&lt;tr&gt;&lt;td&gt;Robert Morris&lt;/td&gt;&lt;td&gt;Hear from this signer of the Declaration who was the financier of the Revolution&lt;div class="location"&gt;&lt;span data-time="2:45" data-number="20" onclick="place_pin(this)" class="map"&gt;&lt;/span&gt;&lt;/div&gt;&lt;/td&gt;&lt;/tr&gt;</v>
      </c>
      <c r="K39" s="3"/>
    </row>
    <row r="40" spans="1:11" x14ac:dyDescent="0.35">
      <c r="A40">
        <v>71</v>
      </c>
      <c r="D40" t="s">
        <v>94</v>
      </c>
      <c r="E40" t="s">
        <v>78</v>
      </c>
      <c r="F40" t="s">
        <v>130</v>
      </c>
      <c r="G40" s="4" t="s">
        <v>160</v>
      </c>
      <c r="H40">
        <v>34</v>
      </c>
      <c r="J40" t="str">
        <f t="shared" si="0"/>
        <v>&lt;tr&gt;&lt;td&gt;Calligraphy II&lt;/td&gt;&lt;td&gt;Quill and ink instruction appropriate for adults and mature youth ($5 fee)&lt;div class="location"&gt;&lt;span data-time="2:45" data-number="34" onclick="place_pin(this)" class="map"&gt;&lt;/span&gt;&lt;/div&gt;&lt;div class="note"&gt;limited seating&lt;/div&gt;&lt;/td&gt;&lt;/tr&gt;</v>
      </c>
      <c r="K40" s="3"/>
    </row>
    <row r="41" spans="1:11" x14ac:dyDescent="0.35">
      <c r="A41">
        <v>72</v>
      </c>
      <c r="C41" t="s">
        <v>95</v>
      </c>
      <c r="J41" t="str">
        <f t="shared" si="0"/>
        <v>&lt;tr&gt;&lt;/tr&gt;&lt;tr&gt;&lt;th colspan="2"&gt;3:00 pm Hour&lt;/th&gt;&lt;/tr&gt;</v>
      </c>
    </row>
    <row r="42" spans="1:11" x14ac:dyDescent="0.35">
      <c r="A42">
        <v>74</v>
      </c>
      <c r="D42" t="s">
        <v>102</v>
      </c>
      <c r="F42" t="s">
        <v>131</v>
      </c>
      <c r="G42" s="4" t="s">
        <v>161</v>
      </c>
      <c r="H42">
        <v>18</v>
      </c>
      <c r="J42" t="str">
        <f t="shared" si="0"/>
        <v>&lt;tr&gt;&lt;td&gt;Continental Artillery&lt;/td&gt;&lt;td&gt;Join as Continental forces fire the cannon typical of the Revolutionary War&lt;div class="location"&gt;&lt;span data-time="3:00" data-number="18" onclick="place_pin(this)" class="map"&gt;&lt;/span&gt;&lt;/div&gt;&lt;/td&gt;&lt;/tr&gt;</v>
      </c>
      <c r="K42" s="3"/>
    </row>
    <row r="43" spans="1:11" x14ac:dyDescent="0.35">
      <c r="A43">
        <v>75</v>
      </c>
      <c r="D43" t="s">
        <v>79</v>
      </c>
      <c r="F43" t="s">
        <v>119</v>
      </c>
      <c r="G43" s="4" t="s">
        <v>162</v>
      </c>
      <c r="H43">
        <v>23</v>
      </c>
      <c r="J43" t="str">
        <f t="shared" si="0"/>
        <v>&lt;tr&gt;&lt;td&gt;Never Caught&lt;/td&gt;&lt;td&gt;Hear the adventures of Ona Judge, escaped from servitude at Mt. Vernon&lt;div class="location"&gt;&lt;span data-time="3:15" data-number="23" onclick="place_pin(this)" class="map"&gt;&lt;/span&gt;&lt;/div&gt;&lt;/td&gt;&lt;/tr&gt;</v>
      </c>
      <c r="K43" s="3"/>
    </row>
    <row r="44" spans="1:11" x14ac:dyDescent="0.35">
      <c r="A44">
        <v>76</v>
      </c>
      <c r="D44" t="s">
        <v>71</v>
      </c>
      <c r="F44" t="s">
        <v>113</v>
      </c>
      <c r="G44" s="4" t="s">
        <v>162</v>
      </c>
      <c r="H44">
        <v>20</v>
      </c>
      <c r="J44" t="str">
        <f t="shared" si="0"/>
        <v>&lt;tr&gt;&lt;td&gt;Unfurling History&lt;/td&gt;&lt;td&gt;Learn the history of the flags of the American Revolution&lt;div class="location"&gt;&lt;span data-time="3:15" data-number="20" onclick="place_pin(this)" class="map"&gt;&lt;/span&gt;&lt;/div&gt;&lt;/td&gt;&lt;/tr&gt;</v>
      </c>
      <c r="K44" s="3"/>
    </row>
    <row r="45" spans="1:11" x14ac:dyDescent="0.35">
      <c r="A45">
        <v>77</v>
      </c>
      <c r="D45" t="s">
        <v>96</v>
      </c>
      <c r="F45" t="s">
        <v>142</v>
      </c>
      <c r="G45" s="4" t="s">
        <v>163</v>
      </c>
      <c r="H45">
        <v>3</v>
      </c>
      <c r="J45" t="str">
        <f t="shared" si="0"/>
        <v>&lt;tr&gt;&lt;td&gt;John Adams&lt;/td&gt;&lt;td&gt;A conversation with the titan of American Independence&lt;div class="location"&gt;&lt;span data-time="3:30" data-number="3" onclick="place_pin(this)" class="map"&gt;&lt;/span&gt;&lt;/div&gt;&lt;/td&gt;&lt;/tr&gt;</v>
      </c>
      <c r="K45" s="3"/>
    </row>
    <row r="46" spans="1:11" x14ac:dyDescent="0.35">
      <c r="A46">
        <v>80</v>
      </c>
      <c r="D46" t="s">
        <v>100</v>
      </c>
      <c r="F46" t="s">
        <v>115</v>
      </c>
      <c r="G46" s="4" t="s">
        <v>163</v>
      </c>
      <c r="H46">
        <v>19</v>
      </c>
      <c r="J46" t="str">
        <f t="shared" si="0"/>
        <v>&lt;tr&gt;&lt;td&gt;Dance Instruction&lt;/td&gt;&lt;td&gt;Join this favorite pastime and learn some favorite colonial dances&lt;div class="location"&gt;&lt;span data-time="3:30" data-number="19" onclick="place_pin(this)" class="map"&gt;&lt;/span&gt;&lt;/div&gt;&lt;/td&gt;&lt;/tr&gt;</v>
      </c>
      <c r="K46" s="3"/>
    </row>
    <row r="47" spans="1:11" x14ac:dyDescent="0.35">
      <c r="A47">
        <v>81</v>
      </c>
      <c r="D47" t="s">
        <v>145</v>
      </c>
      <c r="E47" t="s">
        <v>76</v>
      </c>
      <c r="F47" t="s">
        <v>120</v>
      </c>
      <c r="G47" s="4" t="s">
        <v>163</v>
      </c>
      <c r="H47">
        <v>18</v>
      </c>
      <c r="J47" t="str">
        <f t="shared" si="0"/>
        <v>&lt;tr&gt;&lt;td&gt;Children’s Militia&lt;/td&gt;&lt;td&gt;Young patriots join the militia to muster as they march through the Colonial Village and fire some rounds&lt;div class="location"&gt;&lt;span data-time="3:30" data-number="18" onclick="place_pin(this)" class="map"&gt;&lt;/span&gt;&lt;/div&gt;&lt;div class="note"&gt;arrive early to participate&lt;/div&gt;&lt;/td&gt;&lt;/tr&gt;</v>
      </c>
      <c r="K47" s="3"/>
    </row>
    <row r="48" spans="1:11" x14ac:dyDescent="0.35">
      <c r="A48">
        <v>83</v>
      </c>
      <c r="D48" t="s">
        <v>84</v>
      </c>
      <c r="E48" t="s">
        <v>78</v>
      </c>
      <c r="F48" t="s">
        <v>123</v>
      </c>
      <c r="G48" s="4" t="s">
        <v>163</v>
      </c>
      <c r="H48">
        <v>13</v>
      </c>
      <c r="J48" t="str">
        <f t="shared" si="0"/>
        <v>&lt;tr&gt;&lt;td&gt;Lucet Class&lt;/td&gt;&lt;td&gt;Learn to work this ancient tool to make cord for laces, draw-strings, etc.&lt;div class="location"&gt;&lt;span data-time="3:30" data-number="13" onclick="place_pin(this)" class="map"&gt;&lt;/span&gt;&lt;/div&gt;&lt;div class="note"&gt;limited seating&lt;/div&gt;&lt;/td&gt;&lt;/tr&gt;</v>
      </c>
      <c r="K48" s="3"/>
    </row>
    <row r="49" spans="1:11" x14ac:dyDescent="0.35">
      <c r="A49">
        <v>85</v>
      </c>
      <c r="C49" t="s">
        <v>97</v>
      </c>
      <c r="D49" t="s">
        <v>85</v>
      </c>
      <c r="E49" t="s">
        <v>78</v>
      </c>
      <c r="F49" t="s">
        <v>124</v>
      </c>
      <c r="G49" s="4" t="s">
        <v>164</v>
      </c>
      <c r="H49">
        <v>34</v>
      </c>
      <c r="J49" t="str">
        <f t="shared" si="0"/>
        <v>&lt;tr&gt;&lt;/tr&gt;&lt;tr&gt;&lt;th colspan="2"&gt;4:00 pm Hour&lt;/th&gt;&lt;/tr&gt;</v>
      </c>
      <c r="K49" s="3"/>
    </row>
    <row r="50" spans="1:11" x14ac:dyDescent="0.35">
      <c r="A50">
        <v>88</v>
      </c>
      <c r="D50" t="s">
        <v>107</v>
      </c>
      <c r="F50" t="s">
        <v>116</v>
      </c>
      <c r="G50" s="4" t="s">
        <v>165</v>
      </c>
      <c r="H50">
        <v>20</v>
      </c>
      <c r="J50" t="str">
        <f t="shared" si="0"/>
        <v>&lt;tr&gt;&lt;td&gt;Patrick Ferguson&lt;/td&gt;&lt;td&gt;Listen to the Revolutionary War’s top marksman. Will you enlist?&lt;div class="location"&gt;&lt;span data-time="4:00" data-number="20" onclick="place_pin(this)" class="map"&gt;&lt;/span&gt;&lt;/div&gt;&lt;/td&gt;&lt;/tr&gt;</v>
      </c>
      <c r="K50" s="3"/>
    </row>
    <row r="51" spans="1:11" x14ac:dyDescent="0.35">
      <c r="A51">
        <v>89</v>
      </c>
      <c r="D51" t="s">
        <v>69</v>
      </c>
      <c r="F51" t="s">
        <v>110</v>
      </c>
      <c r="G51" s="4" t="s">
        <v>165</v>
      </c>
      <c r="H51">
        <v>23</v>
      </c>
      <c r="J51" t="str">
        <f t="shared" si="0"/>
        <v>&lt;tr&gt;&lt;td&gt;Colonial School&lt;/td&gt;&lt;td&gt;Children attend school for academic, etiquette, and moral lessons of the day&lt;div class="location"&gt;&lt;span data-time="4:00" data-number="23" onclick="place_pin(this)" class="map"&gt;&lt;/span&gt;&lt;/div&gt;&lt;/td&gt;&lt;/tr&gt;</v>
      </c>
      <c r="K51" s="3"/>
    </row>
    <row r="52" spans="1:11" x14ac:dyDescent="0.35">
      <c r="A52">
        <v>90</v>
      </c>
      <c r="D52" t="s">
        <v>98</v>
      </c>
      <c r="F52" t="s">
        <v>132</v>
      </c>
      <c r="G52" s="4" t="s">
        <v>166</v>
      </c>
      <c r="H52">
        <v>3</v>
      </c>
      <c r="J52" t="str">
        <f t="shared" si="0"/>
        <v>&lt;tr&gt;&lt;td&gt;Benjamin Franklin&lt;/td&gt;&lt;td&gt;Join the Sage of America, the Newton of Electricity, Poor Richard himself—Dr. Franklin&lt;div class="location"&gt;&lt;span data-time="4:15" data-number="3" onclick="place_pin(this)" class="map"&gt;&lt;/span&gt;&lt;/div&gt;&lt;/td&gt;&lt;/tr&gt;</v>
      </c>
      <c r="K52" s="3"/>
    </row>
    <row r="53" spans="1:11" x14ac:dyDescent="0.35">
      <c r="A53">
        <v>92</v>
      </c>
      <c r="D53" t="s">
        <v>108</v>
      </c>
      <c r="F53" t="s">
        <v>134</v>
      </c>
      <c r="G53" s="4" t="s">
        <v>166</v>
      </c>
      <c r="H53">
        <v>18</v>
      </c>
      <c r="J53" t="str">
        <f t="shared" si="0"/>
        <v>&lt;tr&gt;&lt;td&gt;Closing Firing&lt;/td&gt;&lt;td&gt;Close the day as the Crown forces and American troops join in a final volley&lt;div class="location"&gt;&lt;span data-time="4:15" data-number="18" onclick="place_pin(this)" class="map"&gt;&lt;/span&gt;&lt;/div&gt;&lt;/td&gt;&lt;/tr&gt;</v>
      </c>
      <c r="K53" s="3"/>
    </row>
    <row r="54" spans="1:11" x14ac:dyDescent="0.35">
      <c r="A54">
        <v>93</v>
      </c>
      <c r="C54" t="s">
        <v>99</v>
      </c>
      <c r="J54" t="str">
        <f t="shared" si="0"/>
        <v>&lt;tr&gt;&lt;/tr&gt;&lt;tr&gt;&lt;th colspan="2"&gt;7:00 pm, Friday, July 5&lt;/th&gt;&lt;/tr&gt;</v>
      </c>
    </row>
    <row r="55" spans="1:11" x14ac:dyDescent="0.35">
      <c r="A55">
        <v>95</v>
      </c>
      <c r="D55" t="s">
        <v>109</v>
      </c>
      <c r="F55" t="s">
        <v>133</v>
      </c>
      <c r="G55" s="4" t="s">
        <v>167</v>
      </c>
      <c r="H55">
        <v>18</v>
      </c>
      <c r="J55" t="str">
        <f t="shared" si="0"/>
        <v>&lt;tr&gt;&lt;td&gt;Colonial Dance&lt;/td&gt;&lt;td&gt;Join a colonial dance for adults and children old enough to follow instruction and participate in dancing&lt;div class="location"&gt;&lt;span data-time="7:00" data-number="18" onclick="place_pin(this)" class="map"&gt;&lt;/span&gt;&lt;/div&gt;&lt;/td&gt;&lt;/tr&gt;</v>
      </c>
      <c r="K55" s="3"/>
    </row>
  </sheetData>
  <sortState xmlns:xlrd2="http://schemas.microsoft.com/office/spreadsheetml/2017/richdata2" ref="A1:F98">
    <sortCondition ref="A1:A98"/>
  </sortState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99B8-EE18-46F0-BF99-C1EC33433D86}">
  <sheetPr codeName="Sheet4"/>
  <dimension ref="A1:J66"/>
  <sheetViews>
    <sheetView tabSelected="1" topLeftCell="A45" zoomScale="220" zoomScaleNormal="220" workbookViewId="0">
      <selection activeCell="J66" sqref="J1:J66"/>
    </sheetView>
  </sheetViews>
  <sheetFormatPr defaultRowHeight="14.5" x14ac:dyDescent="0.35"/>
  <cols>
    <col min="1" max="1" width="4" bestFit="1" customWidth="1"/>
    <col min="2" max="2" width="3.453125" customWidth="1"/>
    <col min="3" max="3" width="2.81640625" customWidth="1"/>
    <col min="4" max="4" width="29" bestFit="1" customWidth="1"/>
    <col min="5" max="5" width="21.54296875" hidden="1" customWidth="1"/>
    <col min="6" max="6" width="51.54296875" hidden="1" customWidth="1"/>
    <col min="7" max="7" width="9.1796875" style="4"/>
    <col min="8" max="8" width="3" bestFit="1" customWidth="1"/>
    <col min="9" max="9" width="39.81640625" customWidth="1"/>
  </cols>
  <sheetData>
    <row r="1" spans="1:10" x14ac:dyDescent="0.35">
      <c r="A1">
        <v>1</v>
      </c>
      <c r="C1" t="s">
        <v>67</v>
      </c>
      <c r="J1" t="str">
        <f t="shared" ref="J1:J64" si="0">IF(C1&gt;"","&lt;tr&gt;&lt;/tr&gt;&lt;tr&gt;&lt;th colspan=""2""&gt;"&amp;C1&amp;"&lt;/th&gt;&lt;/tr&gt;","&lt;tr class="""&amp;I1&amp;"""&gt;&lt;td&gt;"&amp;D1&amp;"&lt;/td&gt;&lt;td&gt;"&amp;F1&amp;"&lt;div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0" x14ac:dyDescent="0.35">
      <c r="A2">
        <v>3</v>
      </c>
      <c r="D2" t="s">
        <v>102</v>
      </c>
      <c r="F2" t="s">
        <v>340</v>
      </c>
      <c r="G2" s="4" t="s">
        <v>146</v>
      </c>
      <c r="H2">
        <v>20</v>
      </c>
      <c r="J2" t="str">
        <f t="shared" si="0"/>
        <v>&lt;tr class=""&gt;&lt;td&gt;Continental Artillery&lt;/td&gt;&lt;td&gt;Begin the day as Continental forces load and fire the cannon typical of the Revolutionary War.&lt;div class="location"&gt;&lt;span data-time="9:00" data-number="20" onclick="place_pin(this)" class="map"&gt;&lt;/span&gt;&lt;/div&gt;&lt;/td&gt;&lt;/tr&gt;</v>
      </c>
    </row>
    <row r="3" spans="1:10" x14ac:dyDescent="0.3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0" x14ac:dyDescent="0.35">
      <c r="A4">
        <v>6</v>
      </c>
      <c r="D4" t="s">
        <v>69</v>
      </c>
      <c r="F4" t="s">
        <v>305</v>
      </c>
      <c r="G4" s="4" t="s">
        <v>147</v>
      </c>
      <c r="H4">
        <v>27</v>
      </c>
      <c r="J4" t="str">
        <f t="shared" si="0"/>
        <v>&lt;tr class=""&gt;&lt;td&gt;Colonial School&lt;/td&gt;&lt;td&gt;Children attend school for academic, etiquette, and moral lessons of the day.&lt;div class="location"&gt;&lt;span data-time="10:00" data-number="27" onclick="place_pin(this)" class="map"&gt;&lt;/span&gt;&lt;/div&gt;&lt;/td&gt;&lt;/tr&gt;</v>
      </c>
    </row>
    <row r="5" spans="1:10" x14ac:dyDescent="0.35">
      <c r="A5">
        <v>8</v>
      </c>
      <c r="D5" t="s">
        <v>106</v>
      </c>
      <c r="F5" t="s">
        <v>306</v>
      </c>
      <c r="G5" s="4" t="s">
        <v>148</v>
      </c>
      <c r="H5">
        <v>25</v>
      </c>
      <c r="I5" t="s">
        <v>371</v>
      </c>
      <c r="J5" t="str">
        <f t="shared" si="0"/>
        <v>&lt;tr class="birch"&gt;&lt;td&gt;British Swordplay&lt;/td&gt;&lt;td&gt;Watch British military demonstrate offensive and defensive techniques.&lt;div class="location"&gt;&lt;span data-time="10:15" data-number="25" onclick="place_pin(this)" class="map"&gt;&lt;/span&gt;&lt;/div&gt;&lt;/td&gt;&lt;/tr&gt;</v>
      </c>
    </row>
    <row r="6" spans="1:10" x14ac:dyDescent="0.35">
      <c r="A6">
        <v>9</v>
      </c>
      <c r="D6" t="s">
        <v>70</v>
      </c>
      <c r="F6" t="s">
        <v>307</v>
      </c>
      <c r="G6" s="4" t="s">
        <v>148</v>
      </c>
      <c r="H6">
        <v>4</v>
      </c>
      <c r="I6" t="s">
        <v>346</v>
      </c>
      <c r="J6" t="str">
        <f t="shared" si="0"/>
        <v>&lt;tr class="henry"&gt;&lt;td&gt;Patrick Henry&lt;/td&gt;&lt;td&gt;A conversation with one of the revolution’s top orators.&lt;div class="location"&gt;&lt;span data-time="10:15" data-number="4" onclick="place_pin(this)" class="map"&gt;&lt;/span&gt;&lt;/div&gt;&lt;/td&gt;&lt;/tr&gt;</v>
      </c>
    </row>
    <row r="7" spans="1:10" x14ac:dyDescent="0.35">
      <c r="A7">
        <v>10</v>
      </c>
      <c r="D7" t="s">
        <v>71</v>
      </c>
      <c r="E7" s="5"/>
      <c r="F7" t="s">
        <v>308</v>
      </c>
      <c r="G7" s="4" t="s">
        <v>149</v>
      </c>
      <c r="H7">
        <v>26</v>
      </c>
      <c r="I7" s="5" t="s">
        <v>411</v>
      </c>
      <c r="J7" t="str">
        <f t="shared" si="0"/>
        <v>&lt;tr class="hopkinson"&gt;&lt;td&gt;Unfurling History&lt;/td&gt;&lt;td&gt;Learn the history of the flags of the American Revolution.&lt;div class="location"&gt;&lt;span data-time="10:30" data-number="26" onclick="place_pin(this)" class="map"&gt;&lt;/span&gt;&lt;/div&gt;&lt;/td&gt;&lt;/tr&gt;</v>
      </c>
    </row>
    <row r="8" spans="1:10" x14ac:dyDescent="0.35">
      <c r="A8">
        <v>11</v>
      </c>
      <c r="D8" t="s">
        <v>79</v>
      </c>
      <c r="F8" t="s">
        <v>309</v>
      </c>
      <c r="G8" s="4" t="s">
        <v>149</v>
      </c>
      <c r="H8">
        <v>30</v>
      </c>
      <c r="I8" t="s">
        <v>353</v>
      </c>
      <c r="J8" t="str">
        <f t="shared" si="0"/>
        <v>&lt;tr class="judge"&gt;&lt;td&gt;Never Caught&lt;/td&gt;&lt;td&gt;Hear the adventures of Ona Judge, escaped from servitude at Mt. Vernon.&lt;div class="location"&gt;&lt;span data-time="10:30" data-number="30" onclick="place_pin(this)" class="map"&gt;&lt;/span&gt;&lt;/div&gt;&lt;/td&gt;&lt;/tr&gt;</v>
      </c>
    </row>
    <row r="9" spans="1:10" x14ac:dyDescent="0.35">
      <c r="A9">
        <v>13</v>
      </c>
      <c r="D9" t="s">
        <v>374</v>
      </c>
      <c r="F9" t="s">
        <v>310</v>
      </c>
      <c r="G9" s="4" t="s">
        <v>149</v>
      </c>
      <c r="H9">
        <v>27</v>
      </c>
      <c r="I9" t="s">
        <v>355</v>
      </c>
      <c r="J9" t="str">
        <f t="shared" si="0"/>
        <v>&lt;tr class="ludington"&gt;&lt;td&gt;Sybil Ludington&lt;/td&gt;&lt;td&gt;You’ve heard of Paul Revere’s ride; now listen to Sybil tell of her harrowing ride.&lt;div class="location"&gt;&lt;span data-time="10:30" data-number="27" onclick="place_pin(this)" class="map"&gt;&lt;/span&gt;&lt;/div&gt;&lt;/td&gt;&lt;/tr&gt;</v>
      </c>
    </row>
    <row r="10" spans="1:10" x14ac:dyDescent="0.35">
      <c r="A10">
        <v>14</v>
      </c>
      <c r="D10" t="s">
        <v>72</v>
      </c>
      <c r="F10" t="s">
        <v>311</v>
      </c>
      <c r="G10" s="4" t="s">
        <v>150</v>
      </c>
      <c r="H10">
        <v>42</v>
      </c>
      <c r="J10" t="str">
        <f t="shared" si="0"/>
        <v>&lt;tr class=""&gt;&lt;td&gt;British Muster &amp; Drill&lt;/td&gt;&lt;td&gt;The King’s forces maneuver and drill, preparing to suppress the rebellion.&lt;div class="location"&gt;&lt;span data-time="10:45" data-number="42" onclick="place_pin(this)" class="map"&gt;&lt;/span&gt;&lt;/div&gt;&lt;/td&gt;&lt;/tr&gt;</v>
      </c>
    </row>
    <row r="11" spans="1:10" x14ac:dyDescent="0.35">
      <c r="A11">
        <v>15</v>
      </c>
      <c r="C11" t="s">
        <v>73</v>
      </c>
      <c r="J11" t="str">
        <f t="shared" si="0"/>
        <v>&lt;tr&gt;&lt;/tr&gt;&lt;tr&gt;&lt;th colspan="2"&gt;11:00 am Hour&lt;/th&gt;&lt;/tr&gt;</v>
      </c>
    </row>
    <row r="12" spans="1:10" x14ac:dyDescent="0.35">
      <c r="A12">
        <v>16</v>
      </c>
      <c r="D12" t="s">
        <v>291</v>
      </c>
      <c r="F12" t="s">
        <v>312</v>
      </c>
      <c r="G12" s="4" t="s">
        <v>151</v>
      </c>
      <c r="H12">
        <v>27</v>
      </c>
      <c r="I12" t="s">
        <v>347</v>
      </c>
      <c r="J12" t="str">
        <f t="shared" si="0"/>
        <v>&lt;tr class="freeman"&gt;&lt;td&gt;Elizabeth Freeman&lt;/td&gt;&lt;td&gt;Hear the journey of the woman who was first to win freedom under the Massachusetts Constitution through the courts.&lt;div class="location"&gt;&lt;span data-time="11:00" data-number="27" onclick="place_pin(this)" class="map"&gt;&lt;/span&gt;&lt;/div&gt;&lt;/td&gt;&lt;/tr&gt;</v>
      </c>
    </row>
    <row r="13" spans="1:10" x14ac:dyDescent="0.35">
      <c r="A13">
        <v>17</v>
      </c>
      <c r="D13" t="s">
        <v>292</v>
      </c>
      <c r="F13" t="s">
        <v>313</v>
      </c>
      <c r="G13" s="4" t="s">
        <v>151</v>
      </c>
      <c r="H13">
        <v>25</v>
      </c>
      <c r="J13" t="str">
        <f t="shared" si="0"/>
        <v>&lt;tr class=""&gt;&lt;td&gt;Hammer Dulcimer&lt;/td&gt;&lt;td&gt;Listen to a musical performance on this classical 18th century instrument.&lt;div class="location"&gt;&lt;span data-time="11:00" data-number="25" onclick="place_pin(this)" class="map"&gt;&lt;/span&gt;&lt;/div&gt;&lt;/td&gt;&lt;/tr&gt;</v>
      </c>
    </row>
    <row r="14" spans="1:10" x14ac:dyDescent="0.35">
      <c r="A14">
        <v>19</v>
      </c>
      <c r="D14" t="s">
        <v>75</v>
      </c>
      <c r="E14" t="s">
        <v>76</v>
      </c>
      <c r="F14" t="s">
        <v>314</v>
      </c>
      <c r="G14" s="4" t="s">
        <v>151</v>
      </c>
      <c r="H14">
        <v>4</v>
      </c>
      <c r="J14" t="str">
        <f t="shared" si="0"/>
        <v>&lt;tr class=""&gt;&lt;td&gt;Tea Tax Debate&lt;/td&gt;&lt;td&gt;Decide if you will march on the ships in the harbor that carry the King’s tea.&lt;div class="location"&gt;&lt;span data-time="11:00" data-number="4" onclick="place_pin(this)" class="map"&gt;&lt;/span&gt;&lt;/div&gt;&lt;div class="note"&gt;arrive early to participate&lt;/div&gt;&lt;/td&gt;&lt;/tr&gt;</v>
      </c>
    </row>
    <row r="15" spans="1:10" x14ac:dyDescent="0.35">
      <c r="A15">
        <v>22</v>
      </c>
      <c r="D15" t="s">
        <v>107</v>
      </c>
      <c r="F15" t="s">
        <v>116</v>
      </c>
      <c r="G15" s="4" t="s">
        <v>151</v>
      </c>
      <c r="H15">
        <v>26</v>
      </c>
      <c r="I15" t="s">
        <v>348</v>
      </c>
      <c r="J15" t="str">
        <f t="shared" si="0"/>
        <v>&lt;tr class="ferguson"&gt;&lt;td&gt;Patrick Ferguson&lt;/td&gt;&lt;td&gt;Listen to the Revolutionary War’s top marksman. Will you enlist?&lt;div class="location"&gt;&lt;span data-time="11:00" data-number="26" onclick="place_pin(this)" class="map"&gt;&lt;/span&gt;&lt;/div&gt;&lt;/td&gt;&lt;/tr&gt;</v>
      </c>
    </row>
    <row r="16" spans="1:10" x14ac:dyDescent="0.35">
      <c r="A16">
        <v>26</v>
      </c>
      <c r="D16" t="s">
        <v>77</v>
      </c>
      <c r="E16" t="s">
        <v>301</v>
      </c>
      <c r="F16" t="s">
        <v>315</v>
      </c>
      <c r="G16" s="4" t="s">
        <v>151</v>
      </c>
      <c r="H16">
        <v>9</v>
      </c>
      <c r="J16" t="str">
        <f t="shared" si="0"/>
        <v>&lt;tr class=""&gt;&lt;td&gt;Elevenses&lt;/td&gt;&lt;td&gt;Taste a traditional colonial drink, biscuits and tarts while you sit and visit with the founders about the ideas of the revolution.&lt;div class="location"&gt;&lt;span data-time="11:00" data-number="9" onclick="place_pin(this)" class="map"&gt;&lt;/span&gt;&lt;/div&gt;&lt;div class="note"&gt;ages 16 &amp; older - limited seating - donations urged&lt;/div&gt;&lt;/td&gt;&lt;/tr&gt;</v>
      </c>
    </row>
    <row r="17" spans="1:10" x14ac:dyDescent="0.35">
      <c r="A17">
        <v>27</v>
      </c>
      <c r="D17" t="s">
        <v>293</v>
      </c>
      <c r="F17" t="s">
        <v>316</v>
      </c>
      <c r="G17" s="4" t="s">
        <v>151</v>
      </c>
      <c r="H17">
        <v>30</v>
      </c>
      <c r="I17" t="s">
        <v>349</v>
      </c>
      <c r="J17" t="str">
        <f t="shared" si="0"/>
        <v>&lt;tr class="warren"&gt;&lt;td&gt;Mercy Otis Warren&lt;/td&gt;&lt;td&gt;Hear from one of America’s foremost Founding Mothers.&lt;div class="location"&gt;&lt;span data-time="11:00" data-number="30" onclick="place_pin(this)" class="map"&gt;&lt;/span&gt;&lt;/div&gt;&lt;/td&gt;&lt;/tr&gt;</v>
      </c>
    </row>
    <row r="18" spans="1:10" x14ac:dyDescent="0.35">
      <c r="A18">
        <v>29</v>
      </c>
      <c r="D18" t="s">
        <v>102</v>
      </c>
      <c r="F18" t="s">
        <v>317</v>
      </c>
      <c r="G18" s="4" t="s">
        <v>152</v>
      </c>
      <c r="H18">
        <v>20</v>
      </c>
      <c r="J18" t="str">
        <f t="shared" si="0"/>
        <v>&lt;tr class=""&gt;&lt;td&gt;Continental Artillery&lt;/td&gt;&lt;td&gt;Watch Continental forces load and fire cannon typical of the Revolutionary War.&lt;div class="location"&gt;&lt;span data-time="11:30" data-number="20" onclick="place_pin(this)" class="map"&gt;&lt;/span&gt;&lt;/div&gt;&lt;/td&gt;&lt;/tr&gt;</v>
      </c>
    </row>
    <row r="19" spans="1:10" x14ac:dyDescent="0.35">
      <c r="A19">
        <v>32</v>
      </c>
      <c r="D19" t="s">
        <v>80</v>
      </c>
      <c r="E19" t="s">
        <v>78</v>
      </c>
      <c r="F19" t="s">
        <v>318</v>
      </c>
      <c r="G19" s="4" t="s">
        <v>152</v>
      </c>
      <c r="H19">
        <v>23</v>
      </c>
      <c r="J19" t="str">
        <f t="shared" si="0"/>
        <v>&lt;tr class=""&gt;&lt;td&gt;Calligraphy I&lt;/td&gt;&lt;td&gt;Beginners use pencil to learn the basic strokes that form 18th century script.&lt;div class="location"&gt;&lt;span data-time="11:30" data-number="23" onclick="place_pin(this)" class="map"&gt;&lt;/span&gt;&lt;/div&gt;&lt;div class="note"&gt;limited seating&lt;/div&gt;&lt;/td&gt;&lt;/tr&gt;</v>
      </c>
    </row>
    <row r="20" spans="1:10" x14ac:dyDescent="0.35">
      <c r="A20">
        <v>33</v>
      </c>
      <c r="C20" t="s">
        <v>81</v>
      </c>
      <c r="J20" t="str">
        <f t="shared" si="0"/>
        <v>&lt;tr&gt;&lt;/tr&gt;&lt;tr&gt;&lt;th colspan="2"&gt;Noon Hour&lt;/th&gt;&lt;/tr&gt;</v>
      </c>
    </row>
    <row r="21" spans="1:10" x14ac:dyDescent="0.35">
      <c r="A21">
        <v>35</v>
      </c>
      <c r="D21" t="s">
        <v>100</v>
      </c>
      <c r="F21" t="s">
        <v>319</v>
      </c>
      <c r="G21" s="4" t="s">
        <v>153</v>
      </c>
      <c r="H21">
        <v>25</v>
      </c>
      <c r="J21" t="str">
        <f t="shared" si="0"/>
        <v>&lt;tr class=""&gt;&lt;td&gt;Dance Instruction&lt;/td&gt;&lt;td&gt;Join this favorite pastime and learn some favorite colonial dances.&lt;div class="location"&gt;&lt;span data-time="12:00" data-number="25" onclick="place_pin(this)" class="map"&gt;&lt;/span&gt;&lt;/div&gt;&lt;/td&gt;&lt;/tr&gt;</v>
      </c>
    </row>
    <row r="22" spans="1:10" x14ac:dyDescent="0.35">
      <c r="A22">
        <v>36</v>
      </c>
      <c r="D22" t="s">
        <v>69</v>
      </c>
      <c r="F22" t="s">
        <v>305</v>
      </c>
      <c r="G22" s="4" t="s">
        <v>153</v>
      </c>
      <c r="H22">
        <v>27</v>
      </c>
      <c r="J22" t="str">
        <f t="shared" si="0"/>
        <v>&lt;tr class=""&gt;&lt;td&gt;Colonial School&lt;/td&gt;&lt;td&gt;Children attend school for academic, etiquette, and moral lessons of the day.&lt;div class="location"&gt;&lt;span data-time="12:00" data-number="27" onclick="place_pin(this)" class="map"&gt;&lt;/span&gt;&lt;/div&gt;&lt;/td&gt;&lt;/tr&gt;</v>
      </c>
    </row>
    <row r="23" spans="1:10" x14ac:dyDescent="0.35">
      <c r="A23">
        <v>37</v>
      </c>
      <c r="D23" t="s">
        <v>294</v>
      </c>
      <c r="F23" t="s">
        <v>339</v>
      </c>
      <c r="G23" s="4" t="s">
        <v>153</v>
      </c>
      <c r="H23">
        <v>26</v>
      </c>
      <c r="I23" t="s">
        <v>354</v>
      </c>
      <c r="J23" t="str">
        <f t="shared" si="0"/>
        <v>&lt;tr class="barker"&gt;&lt;td&gt;Spilling Tea and Making History&lt;/td&gt;&lt;td&gt;Hear Penelope Barker, organizer of the Edenton Tea Party, discuss the politics of 1774. Will you join the boycott of British goods?&lt;div class="location"&gt;&lt;span data-time="12:00" data-number="26" onclick="place_pin(this)" class="map"&gt;&lt;/span&gt;&lt;/div&gt;&lt;/td&gt;&lt;/tr&gt;</v>
      </c>
    </row>
    <row r="24" spans="1:10" x14ac:dyDescent="0.35">
      <c r="A24">
        <v>38</v>
      </c>
      <c r="D24" t="s">
        <v>295</v>
      </c>
      <c r="F24" t="s">
        <v>320</v>
      </c>
      <c r="G24" s="4" t="s">
        <v>153</v>
      </c>
      <c r="H24">
        <v>30</v>
      </c>
      <c r="I24" t="s">
        <v>350</v>
      </c>
      <c r="J24" t="str">
        <f t="shared" si="0"/>
        <v>&lt;tr class="sherman"&gt;&lt;td&gt;Roger Sherman&lt;/td&gt;&lt;td&gt;Hear the experience of the only founding father to sign all 4 founding documents.&lt;div class="location"&gt;&lt;span data-time="12:00" data-number="30" onclick="place_pin(this)" class="map"&gt;&lt;/span&gt;&lt;/div&gt;&lt;/td&gt;&lt;/tr&gt;</v>
      </c>
    </row>
    <row r="25" spans="1:10" x14ac:dyDescent="0.35">
      <c r="A25">
        <v>40</v>
      </c>
      <c r="D25" t="s">
        <v>83</v>
      </c>
      <c r="E25" t="s">
        <v>76</v>
      </c>
      <c r="F25" t="s">
        <v>321</v>
      </c>
      <c r="G25" s="4" t="s">
        <v>153</v>
      </c>
      <c r="H25">
        <v>4</v>
      </c>
      <c r="J25" t="str">
        <f t="shared" si="0"/>
        <v>&lt;tr class=""&gt;&lt;td&gt;Piracy Trial&lt;/td&gt;&lt;td&gt;In this Admiralty Court, will we hang another pirate or convict a smuggler?&lt;div class="location"&gt;&lt;span data-time="12:00" data-number="4" onclick="place_pin(this)" class="map"&gt;&lt;/span&gt;&lt;/div&gt;&lt;div class="note"&gt;arrive early to participate&lt;/div&gt;&lt;/td&gt;&lt;/tr&gt;</v>
      </c>
    </row>
    <row r="26" spans="1:10" x14ac:dyDescent="0.35">
      <c r="A26">
        <v>41</v>
      </c>
      <c r="D26" t="s">
        <v>296</v>
      </c>
      <c r="E26" t="s">
        <v>304</v>
      </c>
      <c r="F26" t="s">
        <v>322</v>
      </c>
      <c r="G26" s="4" t="s">
        <v>343</v>
      </c>
      <c r="H26">
        <v>21</v>
      </c>
      <c r="J26" t="str">
        <f t="shared" si="0"/>
        <v>&lt;tr class=""&gt;&lt;td&gt;Children’s Militia  &lt;/td&gt;&lt;td&gt;Young colonists muster &amp; march to show their patriotism.&lt;div class="location"&gt;&lt;span data-time="12:15" data-number="21" onclick="place_pin(this)" class="map"&gt;&lt;/span&gt;&lt;/div&gt;&lt;div class="note"&gt;# of participants limited&lt;/div&gt;&lt;/td&gt;&lt;/tr&gt;</v>
      </c>
    </row>
    <row r="27" spans="1:10" x14ac:dyDescent="0.35">
      <c r="A27">
        <v>43</v>
      </c>
      <c r="D27" t="s">
        <v>85</v>
      </c>
      <c r="E27" t="s">
        <v>78</v>
      </c>
      <c r="F27" t="s">
        <v>323</v>
      </c>
      <c r="G27" s="4" t="s">
        <v>154</v>
      </c>
      <c r="H27">
        <v>49</v>
      </c>
      <c r="J27" t="str">
        <f t="shared" si="0"/>
        <v>&lt;tr class=""&gt;&lt;td&gt;Shut-the-Box&lt;/td&gt;&lt;td&gt;Enter a tournament playing a popular game of chance and skill for a prize.&lt;div class="location"&gt;&lt;span data-time="12:30" data-number="49" onclick="place_pin(this)" class="map"&gt;&lt;/span&gt;&lt;/div&gt;&lt;div class="note"&gt;limited seating&lt;/div&gt;&lt;/td&gt;&lt;/tr&gt;</v>
      </c>
    </row>
    <row r="28" spans="1:10" x14ac:dyDescent="0.35">
      <c r="A28">
        <v>45</v>
      </c>
      <c r="D28" t="s">
        <v>84</v>
      </c>
      <c r="E28" t="s">
        <v>78</v>
      </c>
      <c r="F28" t="s">
        <v>123</v>
      </c>
      <c r="G28" s="4" t="s">
        <v>155</v>
      </c>
      <c r="H28">
        <v>9</v>
      </c>
      <c r="J28" t="str">
        <f t="shared" si="0"/>
        <v>&lt;tr class=""&gt;&lt;td&gt;Lucet Class&lt;/td&gt;&lt;td&gt;Learn to work this ancient tool to make cord for laces, draw-strings, etc.&lt;div class="location"&gt;&lt;span data-time="12:45" data-number="9" onclick="place_pin(this)" class="map"&gt;&lt;/span&gt;&lt;/div&gt;&lt;div class="note"&gt;limited seating&lt;/div&gt;&lt;/td&gt;&lt;/tr&gt;</v>
      </c>
    </row>
    <row r="29" spans="1:10" x14ac:dyDescent="0.35">
      <c r="A29">
        <v>46</v>
      </c>
      <c r="D29" t="s">
        <v>82</v>
      </c>
      <c r="F29" t="s">
        <v>324</v>
      </c>
      <c r="G29" s="4" t="s">
        <v>155</v>
      </c>
      <c r="H29">
        <v>4</v>
      </c>
      <c r="I29" t="s">
        <v>359</v>
      </c>
      <c r="J29" t="str">
        <f t="shared" si="0"/>
        <v>&lt;tr class="galvez rochambeau"&gt;&lt;td&gt;Galvez and Rochambeau&lt;/td&gt;&lt;td&gt;A discussion of the Spanish &amp; French roles in the American Revolution.&lt;div class="location"&gt;&lt;span data-time="12:45" data-number="4" onclick="place_pin(this)" class="map"&gt;&lt;/span&gt;&lt;/div&gt;&lt;/td&gt;&lt;/tr&gt;</v>
      </c>
    </row>
    <row r="30" spans="1:10" x14ac:dyDescent="0.35">
      <c r="A30">
        <v>47</v>
      </c>
      <c r="D30" t="s">
        <v>79</v>
      </c>
      <c r="F30" t="s">
        <v>309</v>
      </c>
      <c r="G30" s="4" t="s">
        <v>155</v>
      </c>
      <c r="H30">
        <v>30</v>
      </c>
      <c r="I30" t="s">
        <v>353</v>
      </c>
      <c r="J30" t="str">
        <f t="shared" si="0"/>
        <v>&lt;tr class="judge"&gt;&lt;td&gt;Never Caught&lt;/td&gt;&lt;td&gt;Hear the adventures of Ona Judge, escaped from servitude at Mt. Vernon.&lt;div class="location"&gt;&lt;span data-time="12:45" data-number="30" onclick="place_pin(this)" class="map"&gt;&lt;/span&gt;&lt;/div&gt;&lt;/td&gt;&lt;/tr&gt;</v>
      </c>
    </row>
    <row r="31" spans="1:10" x14ac:dyDescent="0.35">
      <c r="A31">
        <v>49</v>
      </c>
      <c r="D31" t="s">
        <v>103</v>
      </c>
      <c r="F31" t="s">
        <v>325</v>
      </c>
      <c r="G31" s="4" t="s">
        <v>155</v>
      </c>
      <c r="H31">
        <v>26</v>
      </c>
      <c r="I31" t="s">
        <v>352</v>
      </c>
      <c r="J31" t="str">
        <f t="shared" si="0"/>
        <v>&lt;tr class="madison"&gt;&lt;td&gt;James Madison&lt;/td&gt;&lt;td&gt;A conversation with the Father of the United States Constitution.&lt;div class="location"&gt;&lt;span data-time="12:45" data-number="26" onclick="place_pin(this)" class="map"&gt;&lt;/span&gt;&lt;/div&gt;&lt;/td&gt;&lt;/tr&gt;</v>
      </c>
    </row>
    <row r="32" spans="1:10" x14ac:dyDescent="0.35">
      <c r="A32">
        <v>50</v>
      </c>
      <c r="C32" t="s">
        <v>87</v>
      </c>
      <c r="J32" t="str">
        <f t="shared" si="0"/>
        <v>&lt;tr&gt;&lt;/tr&gt;&lt;tr&gt;&lt;th colspan="2"&gt;1:00 pm Hour&lt;/th&gt;&lt;/tr&gt;</v>
      </c>
    </row>
    <row r="33" spans="1:10" x14ac:dyDescent="0.35">
      <c r="A33">
        <v>51</v>
      </c>
      <c r="D33" t="s">
        <v>74</v>
      </c>
      <c r="F33" t="s">
        <v>326</v>
      </c>
      <c r="G33" s="4" t="s">
        <v>156</v>
      </c>
      <c r="H33">
        <v>27</v>
      </c>
      <c r="J33" t="str">
        <f t="shared" si="0"/>
        <v>&lt;tr class=""&gt;&lt;td&gt;Patriots in Petticoats&lt;/td&gt;&lt;td&gt;Contributions of lesser-known women to American Independence.&lt;div class="location"&gt;&lt;span data-time="1:00" data-number="27" onclick="place_pin(this)" class="map"&gt;&lt;/span&gt;&lt;/div&gt;&lt;/td&gt;&lt;/tr&gt;</v>
      </c>
    </row>
    <row r="34" spans="1:10" x14ac:dyDescent="0.35">
      <c r="A34">
        <v>56</v>
      </c>
      <c r="D34" t="s">
        <v>106</v>
      </c>
      <c r="F34" t="s">
        <v>306</v>
      </c>
      <c r="G34" s="4" t="s">
        <v>157</v>
      </c>
      <c r="H34">
        <v>25</v>
      </c>
      <c r="I34" t="s">
        <v>371</v>
      </c>
      <c r="J34" t="str">
        <f t="shared" si="0"/>
        <v>&lt;tr class="birch"&gt;&lt;td&gt;British Swordplay&lt;/td&gt;&lt;td&gt;Watch British military demonstrate offensive and defensive techniques.&lt;div class="location"&gt;&lt;span data-time="1:30" data-number="25" onclick="place_pin(this)" class="map"&gt;&lt;/span&gt;&lt;/div&gt;&lt;/td&gt;&lt;/tr&gt;</v>
      </c>
    </row>
    <row r="35" spans="1:10" x14ac:dyDescent="0.35">
      <c r="A35">
        <v>57</v>
      </c>
      <c r="D35" t="s">
        <v>296</v>
      </c>
      <c r="E35" t="s">
        <v>304</v>
      </c>
      <c r="F35" t="s">
        <v>328</v>
      </c>
      <c r="G35" s="4" t="s">
        <v>157</v>
      </c>
      <c r="H35">
        <v>51</v>
      </c>
      <c r="J35" t="str">
        <f t="shared" si="0"/>
        <v>&lt;tr class=""&gt;&lt;td&gt;Children’s Militia  &lt;/td&gt;&lt;td&gt;Young colonists muster, march to show their loyalty.&lt;div class="location"&gt;&lt;span data-time="1:30" data-number="51" onclick="place_pin(this)" class="map"&gt;&lt;/span&gt;&lt;/div&gt;&lt;div class="note"&gt;# of participants limited&lt;/div&gt;&lt;/td&gt;&lt;/tr&gt;</v>
      </c>
    </row>
    <row r="36" spans="1:10" x14ac:dyDescent="0.35">
      <c r="A36">
        <v>58</v>
      </c>
      <c r="D36" t="s">
        <v>88</v>
      </c>
      <c r="F36" t="s">
        <v>329</v>
      </c>
      <c r="G36" s="4" t="s">
        <v>157</v>
      </c>
      <c r="H36">
        <v>4</v>
      </c>
      <c r="I36" t="s">
        <v>418</v>
      </c>
      <c r="J36" t="str">
        <f t="shared" si="0"/>
        <v>&lt;tr class="franklin madison washington thomas adams sherman morris dickenson jones hancock warren henry hopkinson"&gt;&lt;td&gt;Declaration of Independence&lt;/td&gt;&lt;td&gt;Hear the Declaration of Independence as read by Founding Fathers and others affected by its ideas. Ask a founder a question.&lt;div class="location"&gt;&lt;span data-time="1:30" data-number="4" onclick="place_pin(this)" class="map"&gt;&lt;/span&gt;&lt;/div&gt;&lt;/td&gt;&lt;/tr&gt;</v>
      </c>
    </row>
    <row r="37" spans="1:10" x14ac:dyDescent="0.35">
      <c r="A37">
        <v>60</v>
      </c>
      <c r="C37" t="s">
        <v>90</v>
      </c>
      <c r="J37" t="str">
        <f t="shared" si="0"/>
        <v>&lt;tr&gt;&lt;/tr&gt;&lt;tr&gt;&lt;th colspan="2"&gt;2:00 pm Hour&lt;/th&gt;&lt;/tr&gt;</v>
      </c>
    </row>
    <row r="38" spans="1:10" x14ac:dyDescent="0.35">
      <c r="A38">
        <v>59</v>
      </c>
      <c r="D38" t="s">
        <v>71</v>
      </c>
      <c r="F38" t="s">
        <v>308</v>
      </c>
      <c r="G38" s="4" t="s">
        <v>159</v>
      </c>
      <c r="H38">
        <v>26</v>
      </c>
      <c r="I38" s="5" t="s">
        <v>411</v>
      </c>
      <c r="J38" t="str">
        <f>IF(C38&gt;"","&lt;tr&gt;&lt;/tr&gt;&lt;tr&gt;&lt;th colspan=""2""&gt;"&amp;C38&amp;"&lt;/th&gt;&lt;/tr&gt;","&lt;tr class="""&amp;I38&amp;"""&gt;&lt;td&gt;"&amp;D38&amp;"&lt;/td&gt;&lt;td&gt;"&amp;F38&amp;"&lt;div class=""location""&gt;&lt;span data-time="""&amp;G38&amp;""" data-number="""&amp;H38&amp;""" onclick=""place_pin(this)"" class=""map""&gt;&lt;/span&gt;&lt;/div&gt;"&amp;IF(E38="","","&lt;div class=""note""&gt;"&amp;E38&amp;"&lt;/div&gt;")&amp;"&lt;/td&gt;&lt;/tr&gt;")</f>
        <v>&lt;tr class="hopkinson"&gt;&lt;td&gt;Unfurling History&lt;/td&gt;&lt;td&gt;Learn the history of the flags of the American Revolution.&lt;div class="location"&gt;&lt;span data-time="2:00" data-number="26" onclick="place_pin(this)" class="map"&gt;&lt;/span&gt;&lt;/div&gt;&lt;/td&gt;&lt;/tr&gt;</v>
      </c>
    </row>
    <row r="39" spans="1:10" x14ac:dyDescent="0.35">
      <c r="A39">
        <v>61</v>
      </c>
      <c r="D39" t="s">
        <v>69</v>
      </c>
      <c r="F39" t="s">
        <v>305</v>
      </c>
      <c r="G39" s="4" t="s">
        <v>159</v>
      </c>
      <c r="H39">
        <v>27</v>
      </c>
      <c r="J39" t="str">
        <f t="shared" si="0"/>
        <v>&lt;tr class=""&gt;&lt;td&gt;Colonial School&lt;/td&gt;&lt;td&gt;Children attend school for academic, etiquette, and moral lessons of the day.&lt;div class="location"&gt;&lt;span data-time="2:00" data-number="27" onclick="place_pin(this)" class="map"&gt;&lt;/span&gt;&lt;/div&gt;&lt;/td&gt;&lt;/tr&gt;</v>
      </c>
    </row>
    <row r="40" spans="1:10" x14ac:dyDescent="0.35">
      <c r="A40">
        <v>54</v>
      </c>
      <c r="D40" t="s">
        <v>104</v>
      </c>
      <c r="F40" t="s">
        <v>327</v>
      </c>
      <c r="G40" s="4" t="s">
        <v>159</v>
      </c>
      <c r="H40">
        <v>30</v>
      </c>
      <c r="I40" t="s">
        <v>348</v>
      </c>
      <c r="J40" t="str">
        <f>IF(C40&gt;"","&lt;tr&gt;&lt;/tr&gt;&lt;tr&gt;&lt;th colspan=""2""&gt;"&amp;C40&amp;"&lt;/th&gt;&lt;/tr&gt;","&lt;tr class="""&amp;I40&amp;"""&gt;&lt;td&gt;"&amp;D40&amp;"&lt;/td&gt;&lt;td&gt;"&amp;F40&amp;"&lt;div class=""location""&gt;&lt;span data-time="""&amp;G40&amp;""" data-number="""&amp;H40&amp;""" onclick=""place_pin(this)"" class=""map""&gt;&lt;/span&gt;&lt;/div&gt;"&amp;IF(E40="","","&lt;div class=""note""&gt;"&amp;E40&amp;"&lt;/div&gt;")&amp;"&lt;/td&gt;&lt;/tr&gt;")</f>
        <v>&lt;tr class="ferguson"&gt;&lt;td&gt;Colonial Folk Songs&lt;/td&gt;&lt;td&gt;Enjoy some of the lesser-known songs of the American colonial era.&lt;div class="location"&gt;&lt;span data-time="2:00" data-number="30" onclick="place_pin(this)" class="map"&gt;&lt;/span&gt;&lt;/div&gt;&lt;/td&gt;&lt;/tr&gt;</v>
      </c>
    </row>
    <row r="41" spans="1:10" x14ac:dyDescent="0.35">
      <c r="A41">
        <v>63</v>
      </c>
      <c r="D41" t="s">
        <v>102</v>
      </c>
      <c r="F41" t="s">
        <v>330</v>
      </c>
      <c r="G41" s="4" t="s">
        <v>344</v>
      </c>
      <c r="H41">
        <v>20</v>
      </c>
      <c r="J41" t="str">
        <f t="shared" si="0"/>
        <v>&lt;tr class=""&gt;&lt;td&gt;Continental Artillery&lt;/td&gt;&lt;td&gt;Join as Continental forces fire the cannon typical of the Revolutionary War.&lt;div class="location"&gt;&lt;span data-time="2:30" data-number="20" onclick="place_pin(this)" class="map"&gt;&lt;/span&gt;&lt;/div&gt;&lt;/td&gt;&lt;/tr&gt;</v>
      </c>
    </row>
    <row r="42" spans="1:10" x14ac:dyDescent="0.35">
      <c r="A42">
        <v>65</v>
      </c>
      <c r="D42" t="s">
        <v>92</v>
      </c>
      <c r="E42" t="s">
        <v>76</v>
      </c>
      <c r="F42" t="s">
        <v>331</v>
      </c>
      <c r="G42" s="4" t="s">
        <v>160</v>
      </c>
      <c r="H42">
        <v>4</v>
      </c>
      <c r="J42" t="str">
        <f t="shared" si="0"/>
        <v>&lt;tr class=""&gt;&lt;td&gt;Hog-theft Trial&lt;/td&gt;&lt;td&gt;One colonist is accused of stealing a hog. Watch the wheels of British justice turn and help decide the fate of the accused.&lt;div class="location"&gt;&lt;span data-time="2:45" data-number="4" onclick="place_pin(this)" class="map"&gt;&lt;/span&gt;&lt;/div&gt;&lt;div class="note"&gt;arrive early to participate&lt;/div&gt;&lt;/td&gt;&lt;/tr&gt;</v>
      </c>
    </row>
    <row r="43" spans="1:10" x14ac:dyDescent="0.35">
      <c r="A43">
        <v>66</v>
      </c>
      <c r="D43" t="s">
        <v>297</v>
      </c>
      <c r="F43" t="s">
        <v>332</v>
      </c>
      <c r="G43" s="4" t="s">
        <v>160</v>
      </c>
      <c r="H43">
        <v>25</v>
      </c>
      <c r="J43" t="str">
        <f t="shared" si="0"/>
        <v>&lt;tr class=""&gt;&lt;td&gt;Hammered Dulcimer&lt;/td&gt;&lt;td&gt;Listen to a performance of this classical 18th century instrument.&lt;div class="location"&gt;&lt;span data-time="2:45" data-number="25" onclick="place_pin(this)" class="map"&gt;&lt;/span&gt;&lt;/div&gt;&lt;/td&gt;&lt;/tr&gt;</v>
      </c>
    </row>
    <row r="44" spans="1:10" x14ac:dyDescent="0.35">
      <c r="A44">
        <v>68</v>
      </c>
      <c r="D44" t="s">
        <v>94</v>
      </c>
      <c r="E44" t="s">
        <v>78</v>
      </c>
      <c r="F44" t="s">
        <v>130</v>
      </c>
      <c r="G44" s="4" t="s">
        <v>160</v>
      </c>
      <c r="H44">
        <v>23</v>
      </c>
      <c r="J44" t="str">
        <f t="shared" si="0"/>
        <v>&lt;tr class=""&gt;&lt;td&gt;Calligraphy II&lt;/td&gt;&lt;td&gt;Quill and ink instruction appropriate for adults and mature youth ($5 fee)&lt;div class="location"&gt;&lt;span data-time="2:45" data-number="23" onclick="place_pin(this)" class="map"&gt;&lt;/span&gt;&lt;/div&gt;&lt;div class="note"&gt;limited seating&lt;/div&gt;&lt;/td&gt;&lt;/tr&gt;</v>
      </c>
    </row>
    <row r="45" spans="1:10" x14ac:dyDescent="0.35">
      <c r="A45">
        <v>69</v>
      </c>
      <c r="C45" t="s">
        <v>95</v>
      </c>
      <c r="J45" t="str">
        <f t="shared" si="0"/>
        <v>&lt;tr&gt;&lt;/tr&gt;&lt;tr&gt;&lt;th colspan="2"&gt;3:00 pm Hour&lt;/th&gt;&lt;/tr&gt;</v>
      </c>
    </row>
    <row r="46" spans="1:10" x14ac:dyDescent="0.35">
      <c r="A46">
        <v>73</v>
      </c>
      <c r="D46" t="s">
        <v>91</v>
      </c>
      <c r="E46" t="s">
        <v>301</v>
      </c>
      <c r="F46" t="s">
        <v>333</v>
      </c>
      <c r="G46" s="4" t="s">
        <v>161</v>
      </c>
      <c r="H46">
        <v>9</v>
      </c>
      <c r="J46" t="str">
        <f t="shared" si="0"/>
        <v>&lt;tr class=""&gt;&lt;td&gt;Break bread with the Brits&lt;/td&gt;&lt;td&gt;Taste a traditional colonial drink, breads and jellies while you discuss happenings in the rebellious colonies with those loyal to the crown.&lt;div class="location"&gt;&lt;span data-time="3:00" data-number="9" onclick="place_pin(this)" class="map"&gt;&lt;/span&gt;&lt;/div&gt;&lt;div class="note"&gt;ages 16 &amp; older - limited seating - donations urged&lt;/div&gt;&lt;/td&gt;&lt;/tr&gt;</v>
      </c>
    </row>
    <row r="47" spans="1:10" x14ac:dyDescent="0.35">
      <c r="A47">
        <v>75</v>
      </c>
      <c r="D47" t="s">
        <v>296</v>
      </c>
      <c r="E47" t="s">
        <v>303</v>
      </c>
      <c r="F47" t="s">
        <v>334</v>
      </c>
      <c r="G47" s="4" t="s">
        <v>161</v>
      </c>
      <c r="H47">
        <v>21</v>
      </c>
      <c r="J47" t="str">
        <f t="shared" si="0"/>
        <v>&lt;tr class=""&gt;&lt;td&gt;Children’s Militia  &lt;/td&gt;&lt;td&gt;Young colonists muster, march to show their patriotism.&lt;div class="location"&gt;&lt;span data-time="3:00" data-number="21" onclick="place_pin(this)" class="map"&gt;&lt;/span&gt;&lt;/div&gt;&lt;div class="note"&gt;# of participants limited &lt;/div&gt;&lt;/td&gt;&lt;/tr&gt;</v>
      </c>
    </row>
    <row r="48" spans="1:10" x14ac:dyDescent="0.35">
      <c r="A48">
        <v>76</v>
      </c>
      <c r="D48" t="s">
        <v>291</v>
      </c>
      <c r="F48" t="s">
        <v>312</v>
      </c>
      <c r="G48" s="4" t="s">
        <v>161</v>
      </c>
      <c r="H48">
        <v>27</v>
      </c>
      <c r="I48" t="s">
        <v>347</v>
      </c>
      <c r="J48" t="str">
        <f t="shared" si="0"/>
        <v>&lt;tr class="freeman"&gt;&lt;td&gt;Elizabeth Freeman&lt;/td&gt;&lt;td&gt;Hear the journey of the woman who was first to win freedom under the Massachusetts Constitution through the courts.&lt;div class="location"&gt;&lt;span data-time="3:00" data-number="27" onclick="place_pin(this)" class="map"&gt;&lt;/span&gt;&lt;/div&gt;&lt;/td&gt;&lt;/tr&gt;</v>
      </c>
    </row>
    <row r="49" spans="1:10" x14ac:dyDescent="0.35">
      <c r="A49">
        <v>77</v>
      </c>
      <c r="D49" t="s">
        <v>72</v>
      </c>
      <c r="F49" t="s">
        <v>311</v>
      </c>
      <c r="G49" s="4" t="s">
        <v>161</v>
      </c>
      <c r="H49">
        <v>42</v>
      </c>
      <c r="J49" t="str">
        <f t="shared" si="0"/>
        <v>&lt;tr class=""&gt;&lt;td&gt;British Muster &amp; Drill&lt;/td&gt;&lt;td&gt;The King’s forces maneuver and drill, preparing to suppress the rebellion.&lt;div class="location"&gt;&lt;span data-time="3:00" data-number="42" onclick="place_pin(this)" class="map"&gt;&lt;/span&gt;&lt;/div&gt;&lt;/td&gt;&lt;/tr&gt;</v>
      </c>
    </row>
    <row r="50" spans="1:10" x14ac:dyDescent="0.35">
      <c r="A50">
        <v>78</v>
      </c>
      <c r="D50" t="s">
        <v>294</v>
      </c>
      <c r="F50" t="s">
        <v>339</v>
      </c>
      <c r="G50" s="4" t="s">
        <v>161</v>
      </c>
      <c r="H50">
        <v>26</v>
      </c>
      <c r="I50" t="s">
        <v>354</v>
      </c>
      <c r="J50" t="str">
        <f t="shared" si="0"/>
        <v>&lt;tr class="barker"&gt;&lt;td&gt;Spilling Tea and Making History&lt;/td&gt;&lt;td&gt;Hear Penelope Barker, organizer of the Edenton Tea Party, discuss the politics of 1774. Will you join the boycott of British goods?&lt;div class="location"&gt;&lt;span data-time="3:00" data-number="26" onclick="place_pin(this)" class="map"&gt;&lt;/span&gt;&lt;/div&gt;&lt;/td&gt;&lt;/tr&gt;</v>
      </c>
    </row>
    <row r="51" spans="1:10" x14ac:dyDescent="0.35">
      <c r="A51">
        <v>79</v>
      </c>
      <c r="D51" t="s">
        <v>293</v>
      </c>
      <c r="F51" t="s">
        <v>316</v>
      </c>
      <c r="G51" s="4" t="s">
        <v>161</v>
      </c>
      <c r="H51">
        <v>30</v>
      </c>
      <c r="J51" t="str">
        <f t="shared" si="0"/>
        <v>&lt;tr class=""&gt;&lt;td&gt;Mercy Otis Warren&lt;/td&gt;&lt;td&gt;Hear from one of America’s foremost Founding Mothers.&lt;div class="location"&gt;&lt;span data-time="3:00" data-number="30" onclick="place_pin(this)" class="map"&gt;&lt;/span&gt;&lt;/div&gt;&lt;/td&gt;&lt;/tr&gt;</v>
      </c>
    </row>
    <row r="52" spans="1:10" x14ac:dyDescent="0.35">
      <c r="A52">
        <v>80</v>
      </c>
      <c r="D52" t="s">
        <v>71</v>
      </c>
      <c r="F52" t="s">
        <v>308</v>
      </c>
      <c r="G52" s="4" t="s">
        <v>163</v>
      </c>
      <c r="H52">
        <v>26</v>
      </c>
      <c r="I52" s="5" t="s">
        <v>411</v>
      </c>
      <c r="J52" t="str">
        <f t="shared" si="0"/>
        <v>&lt;tr class="hopkinson"&gt;&lt;td&gt;Unfurling History&lt;/td&gt;&lt;td&gt;Learn the history of the flags of the American Revolution.&lt;div class="location"&gt;&lt;span data-time="3:30" data-number="26" onclick="place_pin(this)" class="map"&gt;&lt;/span&gt;&lt;/div&gt;&lt;/td&gt;&lt;/tr&gt;</v>
      </c>
    </row>
    <row r="53" spans="1:10" x14ac:dyDescent="0.35">
      <c r="A53">
        <v>81</v>
      </c>
      <c r="D53" t="s">
        <v>93</v>
      </c>
      <c r="F53" t="s">
        <v>335</v>
      </c>
      <c r="G53" s="4" t="s">
        <v>163</v>
      </c>
      <c r="H53">
        <v>30</v>
      </c>
      <c r="I53" t="s">
        <v>360</v>
      </c>
      <c r="J53" t="str">
        <f t="shared" si="0"/>
        <v>&lt;tr class="morris"&gt;&lt;td&gt;Robert Morris&lt;/td&gt;&lt;td&gt;Hear from this signer of the Declaration who was the financier of the Revolution.&lt;div class="location"&gt;&lt;span data-time="3:30" data-number="30" onclick="place_pin(this)" class="map"&gt;&lt;/span&gt;&lt;/div&gt;&lt;/td&gt;&lt;/tr&gt;</v>
      </c>
    </row>
    <row r="54" spans="1:10" x14ac:dyDescent="0.35">
      <c r="A54">
        <v>83</v>
      </c>
      <c r="D54" t="s">
        <v>374</v>
      </c>
      <c r="F54" t="s">
        <v>310</v>
      </c>
      <c r="G54" s="4" t="s">
        <v>163</v>
      </c>
      <c r="H54">
        <v>27</v>
      </c>
      <c r="I54" t="s">
        <v>355</v>
      </c>
      <c r="J54" t="str">
        <f t="shared" si="0"/>
        <v>&lt;tr class="ludington"&gt;&lt;td&gt;Sybil Ludington&lt;/td&gt;&lt;td&gt;You’ve heard of Paul Revere’s ride; now listen to Sybil tell of her harrowing ride.&lt;div class="location"&gt;&lt;span data-time="3:30" data-number="27" onclick="place_pin(this)" class="map"&gt;&lt;/span&gt;&lt;/div&gt;&lt;/td&gt;&lt;/tr&gt;</v>
      </c>
    </row>
    <row r="55" spans="1:10" x14ac:dyDescent="0.35">
      <c r="A55">
        <v>84</v>
      </c>
      <c r="D55" t="s">
        <v>96</v>
      </c>
      <c r="F55" t="s">
        <v>336</v>
      </c>
      <c r="G55" s="4" t="s">
        <v>163</v>
      </c>
      <c r="H55">
        <v>4</v>
      </c>
      <c r="I55" t="s">
        <v>361</v>
      </c>
      <c r="J55" t="str">
        <f t="shared" si="0"/>
        <v>&lt;tr class="adams"&gt;&lt;td&gt;John Adams&lt;/td&gt;&lt;td&gt;A conversation with the titan of American Independence.&lt;div class="location"&gt;&lt;span data-time="3:30" data-number="4" onclick="place_pin(this)" class="map"&gt;&lt;/span&gt;&lt;/div&gt;&lt;/td&gt;&lt;/tr&gt;</v>
      </c>
    </row>
    <row r="56" spans="1:10" x14ac:dyDescent="0.35">
      <c r="A56">
        <v>87</v>
      </c>
      <c r="D56" t="s">
        <v>100</v>
      </c>
      <c r="F56" t="s">
        <v>319</v>
      </c>
      <c r="G56" s="4" t="s">
        <v>163</v>
      </c>
      <c r="H56">
        <v>25</v>
      </c>
      <c r="J56" t="str">
        <f t="shared" si="0"/>
        <v>&lt;tr class=""&gt;&lt;td&gt;Dance Instruction&lt;/td&gt;&lt;td&gt;Join this favorite pastime and learn some favorite colonial dances.&lt;div class="location"&gt;&lt;span data-time="3:30" data-number="25" onclick="place_pin(this)" class="map"&gt;&lt;/span&gt;&lt;/div&gt;&lt;/td&gt;&lt;/tr&gt;</v>
      </c>
    </row>
    <row r="57" spans="1:10" x14ac:dyDescent="0.35">
      <c r="A57">
        <v>89</v>
      </c>
      <c r="D57" t="s">
        <v>85</v>
      </c>
      <c r="E57" t="s">
        <v>78</v>
      </c>
      <c r="F57" t="s">
        <v>323</v>
      </c>
      <c r="G57" s="4" t="s">
        <v>164</v>
      </c>
      <c r="H57">
        <v>49</v>
      </c>
      <c r="J57" t="str">
        <f t="shared" si="0"/>
        <v>&lt;tr class=""&gt;&lt;td&gt;Shut-the-Box&lt;/td&gt;&lt;td&gt;Enter a tournament playing a popular game of chance and skill for a prize.&lt;div class="location"&gt;&lt;span data-time="3:45" data-number="49" onclick="place_pin(this)" class="map"&gt;&lt;/span&gt;&lt;/div&gt;&lt;div class="note"&gt;limited seating&lt;/div&gt;&lt;/td&gt;&lt;/tr&gt;</v>
      </c>
    </row>
    <row r="58" spans="1:10" x14ac:dyDescent="0.35">
      <c r="A58">
        <v>90</v>
      </c>
      <c r="C58" t="s">
        <v>97</v>
      </c>
      <c r="J58" t="str">
        <f t="shared" si="0"/>
        <v>&lt;tr&gt;&lt;/tr&gt;&lt;tr&gt;&lt;th colspan="2"&gt;4:00 pm Hour&lt;/th&gt;&lt;/tr&gt;</v>
      </c>
    </row>
    <row r="59" spans="1:10" x14ac:dyDescent="0.35">
      <c r="A59">
        <v>92</v>
      </c>
      <c r="D59" t="s">
        <v>302</v>
      </c>
      <c r="F59" t="s">
        <v>337</v>
      </c>
      <c r="G59" s="4" t="s">
        <v>165</v>
      </c>
      <c r="H59">
        <v>30</v>
      </c>
      <c r="I59" t="s">
        <v>362</v>
      </c>
      <c r="J59" t="str">
        <f t="shared" si="0"/>
        <v>&lt;tr class="hancock"&gt;&lt;td&gt;John Hancock&lt;/td&gt;&lt;td&gt;A conversation with the man who lead the Continental Congress to independence.&lt;div class="location"&gt;&lt;span data-time="4:00" data-number="30" onclick="place_pin(this)" class="map"&gt;&lt;/span&gt;&lt;/div&gt;&lt;/td&gt;&lt;/tr&gt;</v>
      </c>
    </row>
    <row r="60" spans="1:10" x14ac:dyDescent="0.35">
      <c r="A60">
        <v>94</v>
      </c>
      <c r="D60" t="s">
        <v>84</v>
      </c>
      <c r="E60" t="s">
        <v>78</v>
      </c>
      <c r="F60" t="s">
        <v>123</v>
      </c>
      <c r="G60" s="4" t="s">
        <v>165</v>
      </c>
      <c r="H60">
        <v>9</v>
      </c>
      <c r="J60" t="str">
        <f t="shared" si="0"/>
        <v>&lt;tr class=""&gt;&lt;td&gt;Lucet Class&lt;/td&gt;&lt;td&gt;Learn to work this ancient tool to make cord for laces, draw-strings, etc.&lt;div class="location"&gt;&lt;span data-time="4:00" data-number="9" onclick="place_pin(this)" class="map"&gt;&lt;/span&gt;&lt;/div&gt;&lt;div class="note"&gt;limited seating&lt;/div&gt;&lt;/td&gt;&lt;/tr&gt;</v>
      </c>
    </row>
    <row r="61" spans="1:10" x14ac:dyDescent="0.35">
      <c r="A61">
        <v>96</v>
      </c>
      <c r="D61" t="s">
        <v>107</v>
      </c>
      <c r="F61" t="s">
        <v>116</v>
      </c>
      <c r="G61" s="4" t="s">
        <v>165</v>
      </c>
      <c r="H61">
        <v>26</v>
      </c>
      <c r="I61" t="s">
        <v>348</v>
      </c>
      <c r="J61" t="str">
        <f t="shared" si="0"/>
        <v>&lt;tr class="ferguson"&gt;&lt;td&gt;Patrick Ferguson&lt;/td&gt;&lt;td&gt;Listen to the Revolutionary War’s top marksman. Will you enlist?&lt;div class="location"&gt;&lt;span data-time="4:00" data-number="26" onclick="place_pin(this)" class="map"&gt;&lt;/span&gt;&lt;/div&gt;&lt;/td&gt;&lt;/tr&gt;</v>
      </c>
    </row>
    <row r="62" spans="1:10" x14ac:dyDescent="0.35">
      <c r="A62">
        <v>97</v>
      </c>
      <c r="D62" t="s">
        <v>69</v>
      </c>
      <c r="F62" t="s">
        <v>305</v>
      </c>
      <c r="G62" s="4" t="s">
        <v>165</v>
      </c>
      <c r="H62">
        <v>27</v>
      </c>
      <c r="J62" t="str">
        <f t="shared" si="0"/>
        <v>&lt;tr class=""&gt;&lt;td&gt;Colonial School&lt;/td&gt;&lt;td&gt;Children attend school for academic, etiquette, and moral lessons of the day.&lt;div class="location"&gt;&lt;span data-time="4:00" data-number="27" onclick="place_pin(this)" class="map"&gt;&lt;/span&gt;&lt;/div&gt;&lt;/td&gt;&lt;/tr&gt;</v>
      </c>
    </row>
    <row r="63" spans="1:10" x14ac:dyDescent="0.35">
      <c r="A63">
        <v>98</v>
      </c>
      <c r="D63" t="s">
        <v>298</v>
      </c>
      <c r="F63" t="s">
        <v>341</v>
      </c>
      <c r="G63" s="4" t="s">
        <v>166</v>
      </c>
      <c r="H63">
        <v>4</v>
      </c>
      <c r="J63" t="str">
        <f t="shared" si="0"/>
        <v>&lt;tr class=""&gt;&lt;td&gt;Founding Father&lt;/td&gt;&lt;td&gt;A conversation with a Founding Father. Who will it be? Come Find out.&lt;div class="location"&gt;&lt;span data-time="4:15" data-number="4" onclick="place_pin(this)" class="map"&gt;&lt;/span&gt;&lt;/div&gt;&lt;/td&gt;&lt;/tr&gt;</v>
      </c>
    </row>
    <row r="64" spans="1:10" x14ac:dyDescent="0.35">
      <c r="A64">
        <v>99</v>
      </c>
      <c r="D64" t="s">
        <v>299</v>
      </c>
      <c r="F64" t="s">
        <v>342</v>
      </c>
      <c r="G64" s="4" t="s">
        <v>345</v>
      </c>
      <c r="H64">
        <v>20</v>
      </c>
      <c r="J64" t="str">
        <f t="shared" si="0"/>
        <v>&lt;tr class=""&gt;&lt;td&gt;Military Closing Volleys&lt;/td&gt;&lt;td&gt;Close the day as the Crown forces and American troops join in a final volley.&lt;div class="location"&gt;&lt;span data-time="4:45" data-number="20" onclick="place_pin(this)" class="map"&gt;&lt;/span&gt;&lt;/div&gt;&lt;/td&gt;&lt;/tr&gt;</v>
      </c>
    </row>
    <row r="65" spans="1:10" x14ac:dyDescent="0.35">
      <c r="A65">
        <v>100</v>
      </c>
      <c r="C65" t="s">
        <v>300</v>
      </c>
      <c r="J65" t="str">
        <f t="shared" ref="J65:J66" si="1">IF(C65&gt;"","&lt;tr&gt;&lt;/tr&gt;&lt;tr&gt;&lt;th colspan=""2""&gt;"&amp;C65&amp;"&lt;/th&gt;&lt;/tr&gt;","&lt;tr class="""&amp;I65&amp;"""&gt;&lt;td&gt;"&amp;D65&amp;"&lt;/td&gt;&lt;td&gt;"&amp;F65&amp;"&lt;div class=""location""&gt;&lt;span data-time="""&amp;G65&amp;""" data-number="""&amp;H65&amp;""" onclick=""place_pin(this)"" class=""map""&gt;&lt;/span&gt;&lt;/div&gt;"&amp;IF(E65="","","&lt;div class=""note""&gt;"&amp;E65&amp;"&lt;/div&gt;")&amp;"&lt;/td&gt;&lt;/tr&gt;")</f>
        <v>&lt;tr&gt;&lt;/tr&gt;&lt;tr&gt;&lt;th colspan="2"&gt;7:00 pm, Thursday, July 3&lt;/th&gt;&lt;/tr&gt;</v>
      </c>
    </row>
    <row r="66" spans="1:10" x14ac:dyDescent="0.35">
      <c r="A66">
        <v>101</v>
      </c>
      <c r="D66" t="s">
        <v>109</v>
      </c>
      <c r="F66" t="s">
        <v>338</v>
      </c>
      <c r="G66" s="4" t="s">
        <v>167</v>
      </c>
      <c r="H66">
        <v>20</v>
      </c>
      <c r="J66" t="str">
        <f t="shared" si="1"/>
        <v>&lt;tr class=""&gt;&lt;td&gt;Colonial Dance&lt;/td&gt;&lt;td&gt;Join a colonial dance for adults and children old enough to follow instruction and participate in dancing.&lt;div class="location"&gt;&lt;span data-time="7:00" data-number="20" onclick="place_pin(this)" class="map"&gt;&lt;/span&gt;&lt;/div&gt;&lt;/td&gt;&lt;/tr&gt;</v>
      </c>
    </row>
  </sheetData>
  <sortState xmlns:xlrd2="http://schemas.microsoft.com/office/spreadsheetml/2017/richdata2" ref="A1:F66">
    <sortCondition ref="A62:A6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B23AA-EEB1-494A-832D-778A7F1780E4}">
  <sheetPr codeName="Sheet5"/>
  <dimension ref="A1:E21"/>
  <sheetViews>
    <sheetView zoomScale="190" zoomScaleNormal="190" workbookViewId="0">
      <selection activeCell="D1" sqref="D1:D21"/>
    </sheetView>
  </sheetViews>
  <sheetFormatPr defaultRowHeight="14.5" x14ac:dyDescent="0.35"/>
  <cols>
    <col min="3" max="3" width="20.1796875" bestFit="1" customWidth="1"/>
    <col min="4" max="4" width="57" bestFit="1" customWidth="1"/>
  </cols>
  <sheetData>
    <row r="1" spans="1:5" x14ac:dyDescent="0.35">
      <c r="A1" t="s">
        <v>409</v>
      </c>
      <c r="B1" t="s">
        <v>361</v>
      </c>
      <c r="C1" t="s">
        <v>96</v>
      </c>
      <c r="D1" t="str">
        <f t="shared" ref="D1:D21" si="0">"&lt;option value="""&amp;B1&amp;"""&gt;"&amp;C1&amp;"&lt;/option&gt;"</f>
        <v>&lt;option value="adams"&gt;John Adams&lt;/option&gt;</v>
      </c>
      <c r="E1" t="s">
        <v>394</v>
      </c>
    </row>
    <row r="2" spans="1:5" x14ac:dyDescent="0.35">
      <c r="A2" t="s">
        <v>384</v>
      </c>
      <c r="B2" t="s">
        <v>354</v>
      </c>
      <c r="C2" t="s">
        <v>369</v>
      </c>
      <c r="D2" t="str">
        <f t="shared" si="0"/>
        <v>&lt;option value="barker"&gt;Penelope Barker&lt;/option&gt;</v>
      </c>
      <c r="E2" t="s">
        <v>395</v>
      </c>
    </row>
    <row r="3" spans="1:5" x14ac:dyDescent="0.35">
      <c r="B3" t="s">
        <v>371</v>
      </c>
      <c r="C3" t="s">
        <v>370</v>
      </c>
      <c r="D3" t="str">
        <f t="shared" si="0"/>
        <v>&lt;option value="birch"&gt;Samuel Birch&lt;/option&gt;</v>
      </c>
    </row>
    <row r="4" spans="1:5" x14ac:dyDescent="0.35">
      <c r="A4" t="s">
        <v>381</v>
      </c>
      <c r="B4" t="s">
        <v>366</v>
      </c>
      <c r="C4" t="s">
        <v>377</v>
      </c>
      <c r="D4" t="str">
        <f t="shared" si="0"/>
        <v>&lt;option value="dickenson"&gt;John Dickenson&lt;/option&gt;</v>
      </c>
      <c r="E4" t="s">
        <v>396</v>
      </c>
    </row>
    <row r="5" spans="1:5" x14ac:dyDescent="0.35">
      <c r="A5" t="s">
        <v>386</v>
      </c>
      <c r="B5" t="s">
        <v>348</v>
      </c>
      <c r="C5" t="s">
        <v>107</v>
      </c>
      <c r="D5" t="str">
        <f t="shared" si="0"/>
        <v>&lt;option value="ferguson"&gt;Patrick Ferguson&lt;/option&gt;</v>
      </c>
      <c r="E5" t="s">
        <v>397</v>
      </c>
    </row>
    <row r="6" spans="1:5" x14ac:dyDescent="0.35">
      <c r="A6" t="s">
        <v>387</v>
      </c>
      <c r="B6" t="s">
        <v>363</v>
      </c>
      <c r="C6" t="s">
        <v>372</v>
      </c>
      <c r="D6" t="str">
        <f t="shared" si="0"/>
        <v>&lt;option value="franklin"&gt;Benjaman Franklin&lt;/option&gt;</v>
      </c>
      <c r="E6" t="s">
        <v>398</v>
      </c>
    </row>
    <row r="7" spans="1:5" x14ac:dyDescent="0.35">
      <c r="A7" t="s">
        <v>382</v>
      </c>
      <c r="B7" t="s">
        <v>347</v>
      </c>
      <c r="C7" t="s">
        <v>291</v>
      </c>
      <c r="D7" t="str">
        <f t="shared" si="0"/>
        <v>&lt;option value="freeman"&gt;Elizabeth Freeman&lt;/option&gt;</v>
      </c>
      <c r="E7" t="s">
        <v>413</v>
      </c>
    </row>
    <row r="8" spans="1:5" x14ac:dyDescent="0.35">
      <c r="A8" t="s">
        <v>357</v>
      </c>
      <c r="B8" t="s">
        <v>356</v>
      </c>
      <c r="C8" t="s">
        <v>368</v>
      </c>
      <c r="D8" t="str">
        <f t="shared" si="0"/>
        <v>&lt;option value="galvez"&gt;General Galvez&lt;/option&gt;</v>
      </c>
      <c r="E8" t="s">
        <v>399</v>
      </c>
    </row>
    <row r="9" spans="1:5" x14ac:dyDescent="0.35">
      <c r="A9" t="s">
        <v>388</v>
      </c>
      <c r="B9" t="s">
        <v>362</v>
      </c>
      <c r="C9" t="s">
        <v>302</v>
      </c>
      <c r="D9" t="str">
        <f t="shared" si="0"/>
        <v>&lt;option value="hancock"&gt;John Hancock&lt;/option&gt;</v>
      </c>
      <c r="E9" t="s">
        <v>400</v>
      </c>
    </row>
    <row r="10" spans="1:5" x14ac:dyDescent="0.35">
      <c r="A10" t="s">
        <v>380</v>
      </c>
      <c r="B10" t="s">
        <v>346</v>
      </c>
      <c r="C10" t="s">
        <v>70</v>
      </c>
      <c r="D10" t="str">
        <f t="shared" si="0"/>
        <v>&lt;option value="henry"&gt;Patrick Henry&lt;/option&gt;</v>
      </c>
      <c r="E10" t="s">
        <v>401</v>
      </c>
    </row>
    <row r="11" spans="1:5" x14ac:dyDescent="0.35">
      <c r="A11" t="s">
        <v>392</v>
      </c>
      <c r="B11" t="s">
        <v>367</v>
      </c>
      <c r="C11" t="s">
        <v>183</v>
      </c>
      <c r="D11" t="str">
        <f t="shared" si="0"/>
        <v>&lt;option value="jones"&gt;John Paul Jones&lt;/option&gt;</v>
      </c>
      <c r="E11" t="s">
        <v>402</v>
      </c>
    </row>
    <row r="12" spans="1:5" x14ac:dyDescent="0.35">
      <c r="A12" t="s">
        <v>390</v>
      </c>
      <c r="B12" t="s">
        <v>353</v>
      </c>
      <c r="C12" t="s">
        <v>373</v>
      </c>
      <c r="D12" t="str">
        <f t="shared" si="0"/>
        <v>&lt;option value="judge"&gt;Ona Judge&lt;/option&gt;</v>
      </c>
      <c r="E12" t="s">
        <v>414</v>
      </c>
    </row>
    <row r="13" spans="1:5" x14ac:dyDescent="0.35">
      <c r="A13" t="s">
        <v>383</v>
      </c>
      <c r="B13" t="s">
        <v>355</v>
      </c>
      <c r="C13" t="s">
        <v>374</v>
      </c>
      <c r="D13" t="str">
        <f t="shared" si="0"/>
        <v>&lt;option value="ludington"&gt;Sybil Ludington&lt;/option&gt;</v>
      </c>
      <c r="E13" t="s">
        <v>415</v>
      </c>
    </row>
    <row r="14" spans="1:5" x14ac:dyDescent="0.35">
      <c r="A14" t="s">
        <v>391</v>
      </c>
      <c r="B14" t="s">
        <v>352</v>
      </c>
      <c r="C14" t="s">
        <v>103</v>
      </c>
      <c r="D14" t="str">
        <f t="shared" si="0"/>
        <v>&lt;option value="madison"&gt;James Madison&lt;/option&gt;</v>
      </c>
      <c r="E14" t="s">
        <v>403</v>
      </c>
    </row>
    <row r="15" spans="1:5" x14ac:dyDescent="0.35">
      <c r="A15" t="s">
        <v>389</v>
      </c>
      <c r="B15" t="s">
        <v>360</v>
      </c>
      <c r="C15" t="s">
        <v>93</v>
      </c>
      <c r="D15" t="str">
        <f t="shared" si="0"/>
        <v>&lt;option value="morris"&gt;Robert Morris&lt;/option&gt;</v>
      </c>
      <c r="E15" t="s">
        <v>404</v>
      </c>
    </row>
    <row r="16" spans="1:5" x14ac:dyDescent="0.35">
      <c r="A16" t="s">
        <v>358</v>
      </c>
      <c r="B16" t="s">
        <v>351</v>
      </c>
      <c r="C16" t="s">
        <v>176</v>
      </c>
      <c r="D16" t="str">
        <f t="shared" si="0"/>
        <v>&lt;option value="rochambeau"&gt;General Rochambeau&lt;/option&gt;</v>
      </c>
      <c r="E16" t="s">
        <v>405</v>
      </c>
    </row>
    <row r="17" spans="1:5" x14ac:dyDescent="0.35">
      <c r="A17" t="s">
        <v>379</v>
      </c>
      <c r="B17" t="s">
        <v>350</v>
      </c>
      <c r="C17" t="s">
        <v>295</v>
      </c>
      <c r="D17" t="str">
        <f t="shared" si="0"/>
        <v>&lt;option value="sherman"&gt;Roger Sherman&lt;/option&gt;</v>
      </c>
      <c r="E17" t="s">
        <v>406</v>
      </c>
    </row>
    <row r="18" spans="1:5" x14ac:dyDescent="0.35">
      <c r="A18" t="s">
        <v>393</v>
      </c>
      <c r="B18" t="s">
        <v>365</v>
      </c>
      <c r="C18" t="s">
        <v>376</v>
      </c>
      <c r="D18" t="str">
        <f t="shared" si="0"/>
        <v>&lt;option value="thomas"&gt;Isaiah Thomas&lt;/option&gt;</v>
      </c>
      <c r="E18" t="s">
        <v>407</v>
      </c>
    </row>
    <row r="19" spans="1:5" x14ac:dyDescent="0.35">
      <c r="A19" t="s">
        <v>385</v>
      </c>
      <c r="B19" t="s">
        <v>349</v>
      </c>
      <c r="C19" t="s">
        <v>293</v>
      </c>
      <c r="D19" t="str">
        <f t="shared" si="0"/>
        <v>&lt;option value="warren"&gt;Mercy Otis Warren&lt;/option&gt;</v>
      </c>
      <c r="E19" t="s">
        <v>416</v>
      </c>
    </row>
    <row r="20" spans="1:5" x14ac:dyDescent="0.35">
      <c r="A20" t="s">
        <v>378</v>
      </c>
      <c r="B20" t="s">
        <v>364</v>
      </c>
      <c r="C20" t="s">
        <v>375</v>
      </c>
      <c r="D20" t="str">
        <f t="shared" si="0"/>
        <v>&lt;option value="washington"&gt;George Washington&lt;/option&gt;</v>
      </c>
      <c r="E20" t="s">
        <v>408</v>
      </c>
    </row>
    <row r="21" spans="1:5" x14ac:dyDescent="0.35">
      <c r="A21" t="s">
        <v>410</v>
      </c>
      <c r="B21" t="s">
        <v>411</v>
      </c>
      <c r="C21" t="s">
        <v>412</v>
      </c>
      <c r="D21" t="str">
        <f t="shared" si="0"/>
        <v>&lt;option value="hopkinson"&gt;Francis Hopkinson&lt;/option&gt;</v>
      </c>
      <c r="E21" t="s">
        <v>417</v>
      </c>
    </row>
  </sheetData>
  <sortState xmlns:xlrd2="http://schemas.microsoft.com/office/spreadsheetml/2017/richdata2" ref="A1:D20">
    <sortCondition ref="B3:B2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D2F7A-9EC7-4C8A-9FCA-F6199F822C20}">
  <sheetPr codeName="Sheet3"/>
  <dimension ref="A1:H61"/>
  <sheetViews>
    <sheetView zoomScale="280" zoomScaleNormal="280" workbookViewId="0">
      <selection activeCell="C61" sqref="C2:H61"/>
    </sheetView>
  </sheetViews>
  <sheetFormatPr defaultRowHeight="14.5" x14ac:dyDescent="0.35"/>
  <cols>
    <col min="2" max="2" width="26.1796875" customWidth="1"/>
  </cols>
  <sheetData>
    <row r="1" spans="1:8" ht="51.75" customHeight="1" x14ac:dyDescent="0.35">
      <c r="A1" t="s">
        <v>168</v>
      </c>
      <c r="B1" t="s">
        <v>169</v>
      </c>
      <c r="C1" s="6" t="s">
        <v>230</v>
      </c>
      <c r="D1" s="6"/>
      <c r="E1" s="6"/>
      <c r="F1" s="6"/>
      <c r="G1" s="6"/>
      <c r="H1" s="6"/>
    </row>
    <row r="2" spans="1:8" x14ac:dyDescent="0.35">
      <c r="A2">
        <v>1</v>
      </c>
      <c r="B2" t="s">
        <v>170</v>
      </c>
      <c r="C2" t="s">
        <v>231</v>
      </c>
    </row>
    <row r="3" spans="1:8" x14ac:dyDescent="0.35">
      <c r="A3">
        <v>2</v>
      </c>
      <c r="B3" t="s">
        <v>171</v>
      </c>
      <c r="C3" t="s">
        <v>232</v>
      </c>
    </row>
    <row r="4" spans="1:8" x14ac:dyDescent="0.35">
      <c r="A4">
        <v>3</v>
      </c>
      <c r="B4" t="s">
        <v>172</v>
      </c>
      <c r="C4" t="s">
        <v>233</v>
      </c>
    </row>
    <row r="5" spans="1:8" x14ac:dyDescent="0.35">
      <c r="A5">
        <v>4</v>
      </c>
      <c r="B5" t="s">
        <v>173</v>
      </c>
      <c r="C5" t="s">
        <v>234</v>
      </c>
    </row>
    <row r="6" spans="1:8" x14ac:dyDescent="0.35">
      <c r="A6">
        <v>5</v>
      </c>
      <c r="B6" t="s">
        <v>174</v>
      </c>
      <c r="C6" t="s">
        <v>235</v>
      </c>
    </row>
    <row r="7" spans="1:8" x14ac:dyDescent="0.35">
      <c r="A7">
        <v>6</v>
      </c>
      <c r="B7" t="s">
        <v>175</v>
      </c>
      <c r="C7" t="s">
        <v>236</v>
      </c>
    </row>
    <row r="8" spans="1:8" x14ac:dyDescent="0.35">
      <c r="A8">
        <v>7</v>
      </c>
      <c r="B8" t="s">
        <v>176</v>
      </c>
      <c r="C8" t="s">
        <v>237</v>
      </c>
    </row>
    <row r="9" spans="1:8" x14ac:dyDescent="0.35">
      <c r="A9">
        <v>8</v>
      </c>
      <c r="B9" t="s">
        <v>177</v>
      </c>
      <c r="C9" t="s">
        <v>238</v>
      </c>
    </row>
    <row r="10" spans="1:8" x14ac:dyDescent="0.35">
      <c r="A10">
        <v>9</v>
      </c>
      <c r="B10" t="s">
        <v>178</v>
      </c>
      <c r="C10" t="s">
        <v>239</v>
      </c>
    </row>
    <row r="11" spans="1:8" x14ac:dyDescent="0.35">
      <c r="A11">
        <v>10</v>
      </c>
      <c r="B11" t="s">
        <v>179</v>
      </c>
      <c r="C11" t="s">
        <v>240</v>
      </c>
    </row>
    <row r="12" spans="1:8" x14ac:dyDescent="0.35">
      <c r="A12">
        <v>11</v>
      </c>
      <c r="B12" t="s">
        <v>180</v>
      </c>
      <c r="C12" t="s">
        <v>241</v>
      </c>
    </row>
    <row r="13" spans="1:8" x14ac:dyDescent="0.35">
      <c r="A13">
        <v>12</v>
      </c>
      <c r="B13" t="s">
        <v>181</v>
      </c>
      <c r="C13" t="s">
        <v>242</v>
      </c>
    </row>
    <row r="14" spans="1:8" x14ac:dyDescent="0.35">
      <c r="A14">
        <v>13</v>
      </c>
      <c r="B14" t="s">
        <v>182</v>
      </c>
      <c r="C14" t="s">
        <v>243</v>
      </c>
    </row>
    <row r="15" spans="1:8" x14ac:dyDescent="0.35">
      <c r="A15">
        <v>14</v>
      </c>
      <c r="B15" t="s">
        <v>183</v>
      </c>
      <c r="C15" t="s">
        <v>244</v>
      </c>
    </row>
    <row r="16" spans="1:8" x14ac:dyDescent="0.35">
      <c r="A16">
        <v>15</v>
      </c>
      <c r="B16" t="s">
        <v>184</v>
      </c>
      <c r="C16" t="s">
        <v>245</v>
      </c>
    </row>
    <row r="17" spans="1:3" x14ac:dyDescent="0.35">
      <c r="A17">
        <v>16</v>
      </c>
      <c r="B17" t="s">
        <v>185</v>
      </c>
      <c r="C17" t="s">
        <v>246</v>
      </c>
    </row>
    <row r="18" spans="1:3" x14ac:dyDescent="0.35">
      <c r="A18">
        <v>17</v>
      </c>
      <c r="B18" t="s">
        <v>186</v>
      </c>
      <c r="C18" t="s">
        <v>247</v>
      </c>
    </row>
    <row r="19" spans="1:3" x14ac:dyDescent="0.35">
      <c r="A19">
        <v>18</v>
      </c>
      <c r="B19" t="s">
        <v>187</v>
      </c>
      <c r="C19" t="s">
        <v>248</v>
      </c>
    </row>
    <row r="20" spans="1:3" x14ac:dyDescent="0.35">
      <c r="A20">
        <v>19</v>
      </c>
      <c r="B20" t="s">
        <v>188</v>
      </c>
      <c r="C20" t="s">
        <v>249</v>
      </c>
    </row>
    <row r="21" spans="1:3" x14ac:dyDescent="0.35">
      <c r="A21">
        <v>20</v>
      </c>
      <c r="B21" t="s">
        <v>189</v>
      </c>
      <c r="C21" t="s">
        <v>250</v>
      </c>
    </row>
    <row r="22" spans="1:3" x14ac:dyDescent="0.35">
      <c r="A22">
        <v>21</v>
      </c>
      <c r="B22" t="s">
        <v>190</v>
      </c>
      <c r="C22" t="s">
        <v>251</v>
      </c>
    </row>
    <row r="23" spans="1:3" x14ac:dyDescent="0.35">
      <c r="A23">
        <v>22</v>
      </c>
      <c r="B23" t="s">
        <v>191</v>
      </c>
      <c r="C23" t="s">
        <v>252</v>
      </c>
    </row>
    <row r="24" spans="1:3" x14ac:dyDescent="0.35">
      <c r="A24">
        <v>23</v>
      </c>
      <c r="B24" t="s">
        <v>192</v>
      </c>
      <c r="C24" t="s">
        <v>253</v>
      </c>
    </row>
    <row r="25" spans="1:3" x14ac:dyDescent="0.35">
      <c r="A25">
        <v>24</v>
      </c>
      <c r="B25" t="s">
        <v>193</v>
      </c>
      <c r="C25" t="s">
        <v>254</v>
      </c>
    </row>
    <row r="26" spans="1:3" x14ac:dyDescent="0.35">
      <c r="A26">
        <v>25</v>
      </c>
      <c r="B26" t="s">
        <v>194</v>
      </c>
      <c r="C26" t="s">
        <v>255</v>
      </c>
    </row>
    <row r="27" spans="1:3" x14ac:dyDescent="0.35">
      <c r="A27">
        <v>26</v>
      </c>
      <c r="B27" t="s">
        <v>195</v>
      </c>
      <c r="C27" t="s">
        <v>256</v>
      </c>
    </row>
    <row r="28" spans="1:3" x14ac:dyDescent="0.35">
      <c r="A28">
        <v>27</v>
      </c>
      <c r="B28" t="s">
        <v>196</v>
      </c>
      <c r="C28" t="s">
        <v>257</v>
      </c>
    </row>
    <row r="29" spans="1:3" x14ac:dyDescent="0.35">
      <c r="A29">
        <v>28</v>
      </c>
      <c r="B29" t="s">
        <v>197</v>
      </c>
      <c r="C29" t="s">
        <v>258</v>
      </c>
    </row>
    <row r="30" spans="1:3" x14ac:dyDescent="0.35">
      <c r="A30">
        <v>29</v>
      </c>
      <c r="B30" t="s">
        <v>198</v>
      </c>
      <c r="C30" t="s">
        <v>259</v>
      </c>
    </row>
    <row r="31" spans="1:3" x14ac:dyDescent="0.35">
      <c r="A31">
        <v>30</v>
      </c>
      <c r="B31" t="s">
        <v>199</v>
      </c>
      <c r="C31" t="s">
        <v>260</v>
      </c>
    </row>
    <row r="32" spans="1:3" x14ac:dyDescent="0.35">
      <c r="A32">
        <v>31</v>
      </c>
      <c r="B32" t="s">
        <v>200</v>
      </c>
      <c r="C32" t="s">
        <v>261</v>
      </c>
    </row>
    <row r="33" spans="1:3" x14ac:dyDescent="0.35">
      <c r="A33">
        <v>32</v>
      </c>
      <c r="B33" t="s">
        <v>201</v>
      </c>
      <c r="C33" t="s">
        <v>262</v>
      </c>
    </row>
    <row r="34" spans="1:3" x14ac:dyDescent="0.35">
      <c r="A34">
        <v>33</v>
      </c>
      <c r="B34" t="s">
        <v>202</v>
      </c>
      <c r="C34" t="s">
        <v>263</v>
      </c>
    </row>
    <row r="35" spans="1:3" x14ac:dyDescent="0.35">
      <c r="A35">
        <v>34</v>
      </c>
      <c r="B35" t="s">
        <v>203</v>
      </c>
      <c r="C35" t="s">
        <v>264</v>
      </c>
    </row>
    <row r="36" spans="1:3" x14ac:dyDescent="0.35">
      <c r="A36">
        <v>35</v>
      </c>
      <c r="B36" t="s">
        <v>204</v>
      </c>
      <c r="C36" t="s">
        <v>265</v>
      </c>
    </row>
    <row r="37" spans="1:3" x14ac:dyDescent="0.35">
      <c r="A37">
        <v>36</v>
      </c>
      <c r="B37" t="s">
        <v>205</v>
      </c>
      <c r="C37" t="s">
        <v>266</v>
      </c>
    </row>
    <row r="38" spans="1:3" x14ac:dyDescent="0.35">
      <c r="A38">
        <v>37</v>
      </c>
      <c r="B38" t="s">
        <v>206</v>
      </c>
      <c r="C38" t="s">
        <v>267</v>
      </c>
    </row>
    <row r="39" spans="1:3" x14ac:dyDescent="0.35">
      <c r="A39">
        <v>38</v>
      </c>
      <c r="B39" t="s">
        <v>207</v>
      </c>
      <c r="C39" t="s">
        <v>268</v>
      </c>
    </row>
    <row r="40" spans="1:3" x14ac:dyDescent="0.35">
      <c r="A40">
        <v>39</v>
      </c>
      <c r="B40" t="s">
        <v>208</v>
      </c>
      <c r="C40" t="s">
        <v>269</v>
      </c>
    </row>
    <row r="41" spans="1:3" x14ac:dyDescent="0.35">
      <c r="A41">
        <v>40</v>
      </c>
      <c r="B41" t="s">
        <v>209</v>
      </c>
      <c r="C41" t="s">
        <v>270</v>
      </c>
    </row>
    <row r="42" spans="1:3" x14ac:dyDescent="0.35">
      <c r="A42">
        <v>41</v>
      </c>
      <c r="B42" t="s">
        <v>210</v>
      </c>
      <c r="C42" t="s">
        <v>271</v>
      </c>
    </row>
    <row r="43" spans="1:3" x14ac:dyDescent="0.35">
      <c r="A43">
        <v>42</v>
      </c>
      <c r="B43" t="s">
        <v>211</v>
      </c>
      <c r="C43" t="s">
        <v>272</v>
      </c>
    </row>
    <row r="44" spans="1:3" x14ac:dyDescent="0.35">
      <c r="A44">
        <v>43</v>
      </c>
      <c r="B44" t="s">
        <v>212</v>
      </c>
      <c r="C44" t="s">
        <v>273</v>
      </c>
    </row>
    <row r="45" spans="1:3" x14ac:dyDescent="0.35">
      <c r="A45">
        <v>44</v>
      </c>
      <c r="B45" t="s">
        <v>213</v>
      </c>
      <c r="C45" t="s">
        <v>274</v>
      </c>
    </row>
    <row r="46" spans="1:3" x14ac:dyDescent="0.35">
      <c r="A46">
        <v>45</v>
      </c>
      <c r="B46" t="s">
        <v>214</v>
      </c>
      <c r="C46" t="s">
        <v>275</v>
      </c>
    </row>
    <row r="47" spans="1:3" x14ac:dyDescent="0.35">
      <c r="A47">
        <v>46</v>
      </c>
      <c r="B47" t="s">
        <v>215</v>
      </c>
      <c r="C47" t="s">
        <v>276</v>
      </c>
    </row>
    <row r="48" spans="1:3" x14ac:dyDescent="0.35">
      <c r="A48">
        <v>47</v>
      </c>
      <c r="B48" t="s">
        <v>216</v>
      </c>
      <c r="C48" t="s">
        <v>277</v>
      </c>
    </row>
    <row r="49" spans="1:3" x14ac:dyDescent="0.35">
      <c r="A49">
        <v>48</v>
      </c>
      <c r="B49" t="s">
        <v>217</v>
      </c>
      <c r="C49" t="s">
        <v>278</v>
      </c>
    </row>
    <row r="50" spans="1:3" x14ac:dyDescent="0.35">
      <c r="A50">
        <v>49</v>
      </c>
      <c r="B50" t="s">
        <v>218</v>
      </c>
      <c r="C50" t="s">
        <v>279</v>
      </c>
    </row>
    <row r="51" spans="1:3" x14ac:dyDescent="0.35">
      <c r="A51">
        <v>50</v>
      </c>
      <c r="B51" t="s">
        <v>219</v>
      </c>
      <c r="C51" t="s">
        <v>280</v>
      </c>
    </row>
    <row r="52" spans="1:3" x14ac:dyDescent="0.35">
      <c r="A52">
        <v>51</v>
      </c>
      <c r="B52" t="s">
        <v>220</v>
      </c>
      <c r="C52" t="s">
        <v>281</v>
      </c>
    </row>
    <row r="53" spans="1:3" x14ac:dyDescent="0.35">
      <c r="A53">
        <v>52</v>
      </c>
      <c r="B53" t="s">
        <v>221</v>
      </c>
      <c r="C53" t="s">
        <v>282</v>
      </c>
    </row>
    <row r="54" spans="1:3" x14ac:dyDescent="0.35">
      <c r="A54">
        <v>53</v>
      </c>
      <c r="B54" t="s">
        <v>222</v>
      </c>
      <c r="C54" t="s">
        <v>283</v>
      </c>
    </row>
    <row r="55" spans="1:3" x14ac:dyDescent="0.35">
      <c r="A55">
        <v>54</v>
      </c>
      <c r="B55" t="s">
        <v>223</v>
      </c>
      <c r="C55" t="s">
        <v>284</v>
      </c>
    </row>
    <row r="56" spans="1:3" x14ac:dyDescent="0.35">
      <c r="A56">
        <v>55</v>
      </c>
      <c r="B56" t="s">
        <v>224</v>
      </c>
      <c r="C56" t="s">
        <v>285</v>
      </c>
    </row>
    <row r="57" spans="1:3" x14ac:dyDescent="0.35">
      <c r="A57">
        <v>56</v>
      </c>
      <c r="B57" t="s">
        <v>225</v>
      </c>
      <c r="C57" t="s">
        <v>286</v>
      </c>
    </row>
    <row r="58" spans="1:3" x14ac:dyDescent="0.35">
      <c r="A58">
        <v>57</v>
      </c>
      <c r="B58" t="s">
        <v>226</v>
      </c>
      <c r="C58" t="s">
        <v>287</v>
      </c>
    </row>
    <row r="59" spans="1:3" x14ac:dyDescent="0.35">
      <c r="A59">
        <v>58</v>
      </c>
      <c r="B59" t="s">
        <v>227</v>
      </c>
      <c r="C59" t="s">
        <v>288</v>
      </c>
    </row>
    <row r="60" spans="1:3" x14ac:dyDescent="0.35">
      <c r="A60">
        <v>59</v>
      </c>
      <c r="B60" t="s">
        <v>228</v>
      </c>
      <c r="C60" t="s">
        <v>289</v>
      </c>
    </row>
    <row r="61" spans="1:3" x14ac:dyDescent="0.35">
      <c r="A61">
        <v>60</v>
      </c>
      <c r="B61" t="s">
        <v>229</v>
      </c>
      <c r="C61" t="s">
        <v>290</v>
      </c>
    </row>
  </sheetData>
  <mergeCells count="1">
    <mergeCell ref="C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steAndDropPin">
                <anchor moveWithCells="1" sizeWithCells="1">
                  <from>
                    <xdr:col>1</xdr:col>
                    <xdr:colOff>971550</xdr:colOff>
                    <xdr:row>0</xdr:row>
                    <xdr:rowOff>114300</xdr:rowOff>
                  </from>
                  <to>
                    <xdr:col>1</xdr:col>
                    <xdr:colOff>1619250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2024</vt:lpstr>
      <vt:lpstr>2025</vt:lpstr>
      <vt:lpstr>2025 founders</vt:lpstr>
      <vt:lpstr>2025 pins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2019-06-29T16:40:17Z</dcterms:created>
  <dcterms:modified xsi:type="dcterms:W3CDTF">2025-06-21T20:20:45Z</dcterms:modified>
</cp:coreProperties>
</file>