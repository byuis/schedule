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\Code\chf\schedule\"/>
    </mc:Choice>
  </mc:AlternateContent>
  <xr:revisionPtr revIDLastSave="0" documentId="13_ncr:1_{367AFDF7-663A-4172-A9AC-26BAA17F6369}" xr6:coauthVersionLast="47" xr6:coauthVersionMax="47" xr10:uidLastSave="{00000000-0000-0000-0000-000000000000}"/>
  <bookViews>
    <workbookView xWindow="17835" yWindow="0" windowWidth="39870" windowHeight="31785" activeTab="1" xr2:uid="{90196B76-1E12-4739-BA98-DB01DA887A0D}"/>
  </bookViews>
  <sheets>
    <sheet name="Sheet1" sheetId="1" r:id="rId1"/>
    <sheet name="2024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1" i="2"/>
  <c r="D11" i="1"/>
  <c r="D5" i="1"/>
  <c r="D6" i="1" s="1"/>
  <c r="D7" i="1" s="1"/>
  <c r="D3" i="1"/>
  <c r="D13" i="1" l="1"/>
  <c r="D14" i="1" s="1"/>
  <c r="D16" i="1" s="1"/>
  <c r="D19" i="1" s="1"/>
  <c r="D21" i="1" s="1"/>
  <c r="D22" i="1" s="1"/>
  <c r="D24" i="1" s="1"/>
  <c r="D26" i="1" s="1"/>
  <c r="D28" i="1" s="1"/>
</calcChain>
</file>

<file path=xl/sharedStrings.xml><?xml version="1.0" encoding="utf-8"?>
<sst xmlns="http://schemas.openxmlformats.org/spreadsheetml/2006/main" count="251" uniqueCount="168">
  <si>
    <t>Title</t>
  </si>
  <si>
    <t>one liner</t>
  </si>
  <si>
    <t>location</t>
  </si>
  <si>
    <t>time</t>
  </si>
  <si>
    <t>SOUTH MEETING HOUSE</t>
  </si>
  <si>
    <t>CUP AND QUILL</t>
  </si>
  <si>
    <t>AMERICAN CAMP</t>
  </si>
  <si>
    <t>FRONTIER VILLAGE</t>
  </si>
  <si>
    <t>THE GEORGES</t>
  </si>
  <si>
    <t>Soldiers Mess</t>
  </si>
  <si>
    <t>A meal for the soldiers</t>
  </si>
  <si>
    <t>AMERICAN MESS</t>
  </si>
  <si>
    <t>Women of the Frontier</t>
  </si>
  <si>
    <t>Infantry Demonstrations</t>
  </si>
  <si>
    <t>BRITISH CAMP</t>
  </si>
  <si>
    <t>CONTINENTAL FIELD</t>
  </si>
  <si>
    <t>AMERICAN CAMP:</t>
  </si>
  <si>
    <t>Boston: A Horrid Massacre</t>
  </si>
  <si>
    <t>Hear and participate in the story of what really happened in Boston. Who was truly at fault?</t>
  </si>
  <si>
    <t>Conversation with Martha Washington</t>
  </si>
  <si>
    <t>Hear Martha’s side of what the Revolutionary War was like with stories of the General that he won’t tell you.</t>
  </si>
  <si>
    <t>Continental Army Re-enlistment</t>
  </si>
  <si>
    <t>Witness Washington plea to re-enlist, how the Continental Army was able to keep the war alive.</t>
  </si>
  <si>
    <t>Conversation with Elizabeth Thomas</t>
  </si>
  <si>
    <t>A spy you say!? Yes, you heard it correctly. Elizabeth was a real spy for the British Crown. Come and listen to her story!</t>
  </si>
  <si>
    <t>What’s in the Bag?</t>
  </si>
  <si>
    <t>Come and see the contents of a shooting pouch on the frontier. Ask the tough questions, get the really good answers.</t>
  </si>
  <si>
    <t>Colonial Dance Instruction</t>
  </si>
  <si>
    <t>Come join in one of the colonists favorite diversions: dance. Learn some of the dances of the era.</t>
  </si>
  <si>
    <t>Conversation with Ben Franklin</t>
  </si>
  <si>
    <t>Be a part of a conversation with the great Benjamin Franklin. Feel free to ask all the questions you have about his work, even that crazy idea of electricity.</t>
  </si>
  <si>
    <t>Liber“tea” with the Founding Fathers</t>
  </si>
  <si>
    <t>Enjoy colonial teas, biscuits and tarts while you sit and visit with the founders about the ideas of the Revolution. Hosted by lady Washington, seating is limited ($10/person); tickets available at the foundation office: map #1.</t>
  </si>
  <si>
    <t>Frontier Style Warfare</t>
  </si>
  <si>
    <t>Demonstrating tactics and techniques of frontier warfare.</t>
  </si>
  <si>
    <t>Conversation on the Declaration</t>
  </si>
  <si>
    <t>Listen to the thoughts of key Founding Fathers (Adams, Jefferson, Franklin) about the Declaration of Independence. Ask the questions you have always wondered.</t>
  </si>
  <si>
    <t>Continental Army</t>
  </si>
  <si>
    <t>Continental Artillery and Infantry and the firing of musket volleys.</t>
  </si>
  <si>
    <t>Observe the life and skills, and hardships of a woman on the colonial frontier.</t>
  </si>
  <si>
    <t>Conversation with Deborah Samson</t>
  </si>
  <si>
    <t>A female Continental soldier, really?! Come hear this amazing story of the woman who disguised herself as a man in order to fight for the cause of liberty.</t>
  </si>
  <si>
    <t>Soldier vs. Frontier Scout</t>
  </si>
  <si>
    <t>Are all things military created equal? Come find out as you see the differences in gear between a regular soldier and a frontier scout.</t>
  </si>
  <si>
    <t>Shay’s Rebellion</t>
  </si>
  <si>
    <t>Participate in the little-known rebellion that led to the writing of the Constitution and Washington’s presidency.</t>
  </si>
  <si>
    <t>Conversation with the Washingtons</t>
  </si>
  <si>
    <t>Haven’t you always wanted to talk with General and Lady Washington? Now is your chance to ask those burning questions.</t>
  </si>
  <si>
    <t>Making a Buck</t>
  </si>
  <si>
    <t>Come see and learn how the trading of deer hides established a monetary system in the frontier.</t>
  </si>
  <si>
    <t>Fire in the Hole!</t>
  </si>
  <si>
    <t>Not cannon fire, but fire starting on the frontier. Is it as easy as you think?</t>
  </si>
  <si>
    <t>Conversation with Thomas Jefferson</t>
  </si>
  <si>
    <t>Why did Thomas Jefferson write that? Ask him yourself as you join the conversation with this famous author.</t>
  </si>
  <si>
    <t>Reflections of New Nation</t>
  </si>
  <si>
    <t>Hear the concerns about the newly adopted Constitution from the first to live under it, including Washington.</t>
  </si>
  <si>
    <t>Walk a Mile in Their Shoes</t>
  </si>
  <si>
    <t>Making of functional footwear along the frontier was essential for protecting the feet and critical for comfort.</t>
  </si>
  <si>
    <t>Trooping the Colors (American)</t>
  </si>
  <si>
    <t>Follow both the American and British Military as they come together to end the day’s activities.</t>
  </si>
  <si>
    <t>Trooping the Colors (British)</t>
  </si>
  <si>
    <t>Continental Artillery and Infantry</t>
  </si>
  <si>
    <t>Close the day as the Continental forces fire the cannon typical of the Revolutionary War. Infantry drill and the firing of musket volleys too.</t>
  </si>
  <si>
    <t>An evening of Shakespeare; Perhaps</t>
  </si>
  <si>
    <t>Just after the closing cannon, James Stagg’s “Company of Fools”, will provide an Evening of Shakespeare that could result in a Comedy of Errors! Amusement will ensue for all!</t>
  </si>
  <si>
    <t>Colonial Wedding</t>
  </si>
  <si>
    <t>Witness General Washington performing the joining of a soldier and his lady.</t>
  </si>
  <si>
    <t>9:00 am Hour</t>
  </si>
  <si>
    <t>10:00 am Hour</t>
  </si>
  <si>
    <t>Colonial School</t>
  </si>
  <si>
    <t>Patrick Henry</t>
  </si>
  <si>
    <t>Unfurling History</t>
  </si>
  <si>
    <t>British Muster &amp; Drill</t>
  </si>
  <si>
    <t>11:00 am Hour</t>
  </si>
  <si>
    <t>Patriots in Petticoats</t>
  </si>
  <si>
    <t>Tea Tax Debate</t>
  </si>
  <si>
    <t>arrive early to participate</t>
  </si>
  <si>
    <t>Elevenses</t>
  </si>
  <si>
    <t>limited seating</t>
  </si>
  <si>
    <t>Never Caught</t>
  </si>
  <si>
    <t>Calligraphy I</t>
  </si>
  <si>
    <t>Noon Hour</t>
  </si>
  <si>
    <t>Galvez and Rochambeau</t>
  </si>
  <si>
    <t>Piracy Trial</t>
  </si>
  <si>
    <t>Lucet Class</t>
  </si>
  <si>
    <t>Shut-the-Box</t>
  </si>
  <si>
    <t>Gunpowder Incident</t>
  </si>
  <si>
    <t>1:00 pm Hour</t>
  </si>
  <si>
    <t>Declaration of Independence</t>
  </si>
  <si>
    <t>Hear the Declaration of Independence as read by Founding Fathers and others affected by its ideas</t>
  </si>
  <si>
    <t>2:00 pm Hour</t>
  </si>
  <si>
    <t>Break bread with the Brits</t>
  </si>
  <si>
    <t>Hog-theft Trial</t>
  </si>
  <si>
    <t>Robert Morris</t>
  </si>
  <si>
    <t>Calligraphy II</t>
  </si>
  <si>
    <t>3:00 pm Hour</t>
  </si>
  <si>
    <t>John Adams</t>
  </si>
  <si>
    <t>4:00 pm Hour</t>
  </si>
  <si>
    <t>Benjamin Franklin</t>
  </si>
  <si>
    <t>7:00 pm, Friday, July 5</t>
  </si>
  <si>
    <t>Dance Instruction</t>
  </si>
  <si>
    <t>American Militiaman</t>
  </si>
  <si>
    <t>Continental Artillery</t>
  </si>
  <si>
    <t>James Madison</t>
  </si>
  <si>
    <t>Colonial Folk Songs</t>
  </si>
  <si>
    <t>Sybil Luddington</t>
  </si>
  <si>
    <t>British Swordplay</t>
  </si>
  <si>
    <t>Patrick Ferguson</t>
  </si>
  <si>
    <t>Closing Firing</t>
  </si>
  <si>
    <t>Colonial Dance</t>
  </si>
  <si>
    <t>Children attend school for academic, etiquette, and moral lessons of the day</t>
  </si>
  <si>
    <t>Watch British military demonstrate offensive and defensive techniques</t>
  </si>
  <si>
    <t>A conversation with one of the revolution’s top orators</t>
  </si>
  <si>
    <t>Learn the history of the flags of the American Revolution</t>
  </si>
  <si>
    <t>The King’s forces maneuver and drill, preparing to suppress the rebellion</t>
  </si>
  <si>
    <t>Join this favorite pastime and learn some favorite colonial dances</t>
  </si>
  <si>
    <t>Listen to the Revolutionary War’s top marksman. Will you enlist?</t>
  </si>
  <si>
    <t>Taste a traditional colonial drink, biscuits and tarts while you sit and visit with the founders about the ideas of the revolution</t>
  </si>
  <si>
    <t>Find out why the American militia was so critical to the revolution</t>
  </si>
  <si>
    <t>Hear the adventures of Ona Judge, escaped from servitude at Mt. Vernon</t>
  </si>
  <si>
    <t>Young patriots join the militia to muster as they march through the Colonial Village and fire some rounds</t>
  </si>
  <si>
    <t>Beginners use pencil to learn the basic strokes that form 18th century script</t>
  </si>
  <si>
    <t>Participate in the Admiralty Court. Will we hang another pirate?</t>
  </si>
  <si>
    <t>Learn to work this ancient tool to make cord for laces, draw-strings, etc.</t>
  </si>
  <si>
    <t>Enter a tournament playing a popular game of chance and skill for a prize</t>
  </si>
  <si>
    <t>Listen to the “true tale” of the appropriation of the people’s gunpowder by Virginia’s governor. Will the governor respond?</t>
  </si>
  <si>
    <t>Enjoy some of the lesser-known songs of the American colonial era</t>
  </si>
  <si>
    <t>You’ve heard of Paul Revere’s ride; now listen to Sybil tell of her harrowing ride</t>
  </si>
  <si>
    <t>One colonist is accused of stealing a hog. Watch the wheels of British justice turn and help decide the fate of the accused</t>
  </si>
  <si>
    <t>Hear from this signer of the Declaration who was the financier of the Revolution</t>
  </si>
  <si>
    <t>Quill and ink instruction appropriate for adults and mature youth ($5 fee)</t>
  </si>
  <si>
    <t>Join as Continental forces fire the cannon typical of the Revolutionary War</t>
  </si>
  <si>
    <t>Join the Sage of America, the Newton of Electricity, Poor Richard himself—Dr. Franklin</t>
  </si>
  <si>
    <t>Join a colonial dance for adults and children old enough to follow instruction and participate in dancing</t>
  </si>
  <si>
    <t>Close the day as the Crown forces and American troops join in a final volley</t>
  </si>
  <si>
    <t>Begin the day as Continental forces load and fire the cannon typical of the Revolutionary War</t>
  </si>
  <si>
    <t>Contributions of lesser-known women to American Independence</t>
  </si>
  <si>
    <t>Decide if you will march on the ships in the harbor that carry the King’s tea</t>
  </si>
  <si>
    <t>A discussion of the roles of Spanish and French military in the American Revolution</t>
  </si>
  <si>
    <t>Join as Continental forces load and fire the cannon typical of the Revolutionary War</t>
  </si>
  <si>
    <t>A conversation with the Father of the Constitution of the United States</t>
  </si>
  <si>
    <t>Taste a traditional colonial drink, breads and jellies while you discuss happenings in the rebellious colonies with those loyal to the crown</t>
  </si>
  <si>
    <t>A conversation with the titan of American Independence</t>
  </si>
  <si>
    <t>British  Swordplay</t>
  </si>
  <si>
    <t>ages 16 &amp; older limited seating donations urged</t>
  </si>
  <si>
    <t>Children’s Militia</t>
  </si>
  <si>
    <t>9:00</t>
  </si>
  <si>
    <t>10:00</t>
  </si>
  <si>
    <t>10:15</t>
  </si>
  <si>
    <t>10:30</t>
  </si>
  <si>
    <t>10:45</t>
  </si>
  <si>
    <t>11:00</t>
  </si>
  <si>
    <t>11:30</t>
  </si>
  <si>
    <t>12:00</t>
  </si>
  <si>
    <t>12:30</t>
  </si>
  <si>
    <t>12:45</t>
  </si>
  <si>
    <t>1:00</t>
  </si>
  <si>
    <t>1:30</t>
  </si>
  <si>
    <t>1:45</t>
  </si>
  <si>
    <t>2:00</t>
  </si>
  <si>
    <t>2:45</t>
  </si>
  <si>
    <t>3:00</t>
  </si>
  <si>
    <t>3:15</t>
  </si>
  <si>
    <t>3:30</t>
  </si>
  <si>
    <t>3:45</t>
  </si>
  <si>
    <t>4:00</t>
  </si>
  <si>
    <t>4:15</t>
  </si>
  <si>
    <t>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</si>
</sst>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18" fontId="0" fillId="0" borderId="0" xfId="0" applyNumberFormat="1"/>
    <xf numFmtId="20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2F64-1581-4A4A-A74A-81315A4E98B0}">
  <sheetPr codeName="s"/>
  <dimension ref="A1:G431"/>
  <sheetViews>
    <sheetView topLeftCell="A25" zoomScale="205" zoomScaleNormal="205" workbookViewId="0">
      <selection activeCell="C29" sqref="C29"/>
    </sheetView>
  </sheetViews>
  <sheetFormatPr defaultColWidth="31.140625"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ht="45" x14ac:dyDescent="0.25">
      <c r="A2" s="1" t="s">
        <v>17</v>
      </c>
      <c r="B2" s="1" t="s">
        <v>18</v>
      </c>
      <c r="C2" t="s">
        <v>4</v>
      </c>
      <c r="D2" s="2">
        <v>0.41666666666666669</v>
      </c>
    </row>
    <row r="3" spans="1:7" ht="60" x14ac:dyDescent="0.25">
      <c r="A3" s="1" t="s">
        <v>19</v>
      </c>
      <c r="B3" s="1" t="s">
        <v>20</v>
      </c>
      <c r="C3" t="s">
        <v>5</v>
      </c>
      <c r="D3" s="2">
        <f>D2</f>
        <v>0.41666666666666669</v>
      </c>
    </row>
    <row r="4" spans="1:7" ht="45" x14ac:dyDescent="0.25">
      <c r="A4" s="1" t="s">
        <v>21</v>
      </c>
      <c r="B4" s="1" t="s">
        <v>22</v>
      </c>
      <c r="C4" t="s">
        <v>6</v>
      </c>
      <c r="D4" s="2">
        <v>0.45833333333333331</v>
      </c>
    </row>
    <row r="5" spans="1:7" ht="60" x14ac:dyDescent="0.25">
      <c r="A5" s="1" t="s">
        <v>23</v>
      </c>
      <c r="B5" s="1" t="s">
        <v>24</v>
      </c>
      <c r="C5" t="s">
        <v>5</v>
      </c>
      <c r="D5" s="2">
        <f t="shared" ref="D5:D28" si="0">D4</f>
        <v>0.45833333333333331</v>
      </c>
    </row>
    <row r="6" spans="1:7" ht="60" x14ac:dyDescent="0.25">
      <c r="A6" s="1" t="s">
        <v>25</v>
      </c>
      <c r="B6" s="1" t="s">
        <v>26</v>
      </c>
      <c r="C6" t="s">
        <v>7</v>
      </c>
      <c r="D6" s="2">
        <f t="shared" si="0"/>
        <v>0.45833333333333331</v>
      </c>
    </row>
    <row r="7" spans="1:7" ht="45" x14ac:dyDescent="0.25">
      <c r="A7" s="1" t="s">
        <v>27</v>
      </c>
      <c r="B7" s="1" t="s">
        <v>28</v>
      </c>
      <c r="C7" t="s">
        <v>8</v>
      </c>
      <c r="D7" s="2">
        <f t="shared" si="0"/>
        <v>0.45833333333333331</v>
      </c>
      <c r="E7" s="2">
        <v>0.54166666666666663</v>
      </c>
      <c r="F7" s="2">
        <v>0.625</v>
      </c>
      <c r="G7" s="2">
        <v>0.70833333333333337</v>
      </c>
    </row>
    <row r="8" spans="1:7" ht="75" x14ac:dyDescent="0.25">
      <c r="A8" s="1" t="s">
        <v>29</v>
      </c>
      <c r="B8" s="1" t="s">
        <v>30</v>
      </c>
      <c r="C8" t="s">
        <v>5</v>
      </c>
      <c r="D8" s="2">
        <v>0.47916666666666669</v>
      </c>
    </row>
    <row r="9" spans="1:7" ht="105" x14ac:dyDescent="0.25">
      <c r="A9" s="1" t="s">
        <v>31</v>
      </c>
      <c r="B9" s="1" t="s">
        <v>32</v>
      </c>
      <c r="C9" t="s">
        <v>8</v>
      </c>
      <c r="D9" s="2">
        <v>0.5</v>
      </c>
    </row>
    <row r="10" spans="1:7" x14ac:dyDescent="0.25">
      <c r="A10" s="1" t="s">
        <v>9</v>
      </c>
      <c r="B10" s="1" t="s">
        <v>10</v>
      </c>
      <c r="C10" t="s">
        <v>11</v>
      </c>
      <c r="D10" s="2">
        <v>0.52083333333333337</v>
      </c>
    </row>
    <row r="11" spans="1:7" ht="30" x14ac:dyDescent="0.25">
      <c r="A11" s="1" t="s">
        <v>33</v>
      </c>
      <c r="B11" s="1" t="s">
        <v>34</v>
      </c>
      <c r="C11" t="s">
        <v>7</v>
      </c>
      <c r="D11" s="2">
        <f t="shared" si="0"/>
        <v>0.52083333333333337</v>
      </c>
    </row>
    <row r="12" spans="1:7" ht="90" x14ac:dyDescent="0.25">
      <c r="A12" s="1" t="s">
        <v>35</v>
      </c>
      <c r="B12" s="1" t="s">
        <v>36</v>
      </c>
      <c r="C12" t="s">
        <v>5</v>
      </c>
      <c r="D12" s="2">
        <v>0.54166666666666663</v>
      </c>
    </row>
    <row r="13" spans="1:7" ht="30" x14ac:dyDescent="0.25">
      <c r="A13" s="1" t="s">
        <v>37</v>
      </c>
      <c r="B13" s="1" t="s">
        <v>38</v>
      </c>
      <c r="C13" t="s">
        <v>6</v>
      </c>
      <c r="D13" s="2">
        <f t="shared" si="0"/>
        <v>0.54166666666666663</v>
      </c>
    </row>
    <row r="14" spans="1:7" ht="45" x14ac:dyDescent="0.25">
      <c r="A14" s="1" t="s">
        <v>12</v>
      </c>
      <c r="B14" s="1" t="s">
        <v>39</v>
      </c>
      <c r="C14" t="s">
        <v>7</v>
      </c>
      <c r="D14" s="2">
        <f t="shared" si="0"/>
        <v>0.54166666666666663</v>
      </c>
    </row>
    <row r="15" spans="1:7" ht="90" x14ac:dyDescent="0.25">
      <c r="A15" s="1" t="s">
        <v>40</v>
      </c>
      <c r="B15" s="1" t="s">
        <v>41</v>
      </c>
      <c r="C15" t="s">
        <v>5</v>
      </c>
      <c r="D15" s="2">
        <v>0.58333333333333337</v>
      </c>
    </row>
    <row r="16" spans="1:7" ht="75" x14ac:dyDescent="0.25">
      <c r="A16" s="1" t="s">
        <v>42</v>
      </c>
      <c r="B16" s="1" t="s">
        <v>43</v>
      </c>
      <c r="C16" t="s">
        <v>7</v>
      </c>
      <c r="D16" s="2">
        <f t="shared" si="0"/>
        <v>0.58333333333333337</v>
      </c>
    </row>
    <row r="17" spans="1:4" ht="60" x14ac:dyDescent="0.25">
      <c r="A17" s="1" t="s">
        <v>44</v>
      </c>
      <c r="B17" s="1" t="s">
        <v>45</v>
      </c>
      <c r="C17" t="s">
        <v>4</v>
      </c>
      <c r="D17" s="2">
        <v>0.60416666666666663</v>
      </c>
    </row>
    <row r="18" spans="1:4" ht="60" x14ac:dyDescent="0.25">
      <c r="A18" s="1" t="s">
        <v>46</v>
      </c>
      <c r="B18" s="1" t="s">
        <v>47</v>
      </c>
      <c r="C18" t="s">
        <v>5</v>
      </c>
      <c r="D18" s="2">
        <v>0.625</v>
      </c>
    </row>
    <row r="19" spans="1:4" ht="60" x14ac:dyDescent="0.25">
      <c r="A19" s="1" t="s">
        <v>48</v>
      </c>
      <c r="B19" s="1" t="s">
        <v>49</v>
      </c>
      <c r="C19" t="s">
        <v>7</v>
      </c>
      <c r="D19" s="2">
        <f t="shared" si="0"/>
        <v>0.625</v>
      </c>
    </row>
    <row r="20" spans="1:4" x14ac:dyDescent="0.25">
      <c r="A20" s="1" t="s">
        <v>37</v>
      </c>
      <c r="B20" t="s">
        <v>13</v>
      </c>
      <c r="C20" t="s">
        <v>6</v>
      </c>
      <c r="D20" s="2">
        <v>0.66666666666666663</v>
      </c>
    </row>
    <row r="21" spans="1:4" ht="45" x14ac:dyDescent="0.25">
      <c r="A21" s="1" t="s">
        <v>50</v>
      </c>
      <c r="B21" s="1" t="s">
        <v>51</v>
      </c>
      <c r="C21" t="s">
        <v>7</v>
      </c>
      <c r="D21" s="2">
        <f t="shared" si="0"/>
        <v>0.66666666666666663</v>
      </c>
    </row>
    <row r="22" spans="1:4" ht="60" x14ac:dyDescent="0.25">
      <c r="A22" s="1" t="s">
        <v>52</v>
      </c>
      <c r="B22" s="1" t="s">
        <v>53</v>
      </c>
      <c r="C22" t="s">
        <v>5</v>
      </c>
      <c r="D22" s="2">
        <f t="shared" si="0"/>
        <v>0.66666666666666663</v>
      </c>
    </row>
    <row r="23" spans="1:4" ht="60" x14ac:dyDescent="0.25">
      <c r="A23" s="1" t="s">
        <v>54</v>
      </c>
      <c r="B23" s="1" t="s">
        <v>55</v>
      </c>
      <c r="C23" t="s">
        <v>4</v>
      </c>
      <c r="D23" s="2">
        <v>0.70833333333333337</v>
      </c>
    </row>
    <row r="24" spans="1:4" ht="60" x14ac:dyDescent="0.25">
      <c r="A24" s="1" t="s">
        <v>56</v>
      </c>
      <c r="B24" s="1" t="s">
        <v>57</v>
      </c>
      <c r="C24" t="s">
        <v>7</v>
      </c>
      <c r="D24" s="2">
        <f t="shared" si="0"/>
        <v>0.70833333333333337</v>
      </c>
    </row>
    <row r="25" spans="1:4" ht="60" x14ac:dyDescent="0.25">
      <c r="A25" s="1" t="s">
        <v>58</v>
      </c>
      <c r="B25" s="1" t="s">
        <v>59</v>
      </c>
      <c r="C25" t="s">
        <v>6</v>
      </c>
      <c r="D25" s="2">
        <v>0.72916666666666663</v>
      </c>
    </row>
    <row r="26" spans="1:4" ht="60" x14ac:dyDescent="0.25">
      <c r="A26" s="1" t="s">
        <v>60</v>
      </c>
      <c r="B26" s="1" t="s">
        <v>59</v>
      </c>
      <c r="C26" t="s">
        <v>14</v>
      </c>
      <c r="D26" s="2">
        <f t="shared" si="0"/>
        <v>0.72916666666666663</v>
      </c>
    </row>
    <row r="27" spans="1:4" ht="75" x14ac:dyDescent="0.25">
      <c r="A27" s="1" t="s">
        <v>61</v>
      </c>
      <c r="B27" s="1" t="s">
        <v>62</v>
      </c>
      <c r="C27" t="s">
        <v>15</v>
      </c>
      <c r="D27" s="2">
        <v>0.75</v>
      </c>
    </row>
    <row r="28" spans="1:4" ht="90" x14ac:dyDescent="0.25">
      <c r="A28" s="1" t="s">
        <v>63</v>
      </c>
      <c r="B28" s="1" t="s">
        <v>64</v>
      </c>
      <c r="C28" t="s">
        <v>4</v>
      </c>
      <c r="D28" s="2">
        <f t="shared" si="0"/>
        <v>0.75</v>
      </c>
    </row>
    <row r="29" spans="1:4" ht="45" x14ac:dyDescent="0.25">
      <c r="A29" s="1" t="s">
        <v>65</v>
      </c>
      <c r="B29" s="1" t="s">
        <v>66</v>
      </c>
      <c r="C29" t="s">
        <v>16</v>
      </c>
      <c r="D29" s="2">
        <v>0.58333333333333337</v>
      </c>
    </row>
    <row r="30" spans="1:4" x14ac:dyDescent="0.25">
      <c r="D30" s="2"/>
    </row>
    <row r="31" spans="1:4" x14ac:dyDescent="0.25">
      <c r="D31" s="2"/>
    </row>
    <row r="32" spans="1:4" x14ac:dyDescent="0.25">
      <c r="D32" s="2"/>
    </row>
    <row r="33" spans="4:4" x14ac:dyDescent="0.25">
      <c r="D33" s="2"/>
    </row>
    <row r="34" spans="4:4" x14ac:dyDescent="0.25">
      <c r="D34" s="2"/>
    </row>
    <row r="35" spans="4:4" x14ac:dyDescent="0.25">
      <c r="D35" s="2"/>
    </row>
    <row r="36" spans="4:4" x14ac:dyDescent="0.25">
      <c r="D36" s="2"/>
    </row>
    <row r="37" spans="4:4" x14ac:dyDescent="0.25">
      <c r="D37" s="2"/>
    </row>
    <row r="38" spans="4:4" x14ac:dyDescent="0.25">
      <c r="D38" s="2"/>
    </row>
    <row r="39" spans="4:4" x14ac:dyDescent="0.25">
      <c r="D39" s="2"/>
    </row>
    <row r="40" spans="4:4" x14ac:dyDescent="0.25">
      <c r="D40" s="2"/>
    </row>
    <row r="41" spans="4:4" x14ac:dyDescent="0.25">
      <c r="D41" s="2"/>
    </row>
    <row r="42" spans="4:4" x14ac:dyDescent="0.25">
      <c r="D42" s="2"/>
    </row>
    <row r="43" spans="4:4" x14ac:dyDescent="0.25">
      <c r="D43" s="2"/>
    </row>
    <row r="44" spans="4:4" x14ac:dyDescent="0.25">
      <c r="D44" s="2"/>
    </row>
    <row r="45" spans="4:4" x14ac:dyDescent="0.25">
      <c r="D45" s="2"/>
    </row>
    <row r="46" spans="4:4" x14ac:dyDescent="0.25">
      <c r="D46" s="2"/>
    </row>
    <row r="47" spans="4:4" x14ac:dyDescent="0.25">
      <c r="D47" s="2"/>
    </row>
    <row r="48" spans="4:4" x14ac:dyDescent="0.25">
      <c r="D48" s="2"/>
    </row>
    <row r="49" spans="4:4" x14ac:dyDescent="0.25">
      <c r="D49" s="2"/>
    </row>
    <row r="50" spans="4:4" x14ac:dyDescent="0.25">
      <c r="D50" s="2"/>
    </row>
    <row r="51" spans="4:4" x14ac:dyDescent="0.25">
      <c r="D51" s="2"/>
    </row>
    <row r="52" spans="4:4" x14ac:dyDescent="0.25">
      <c r="D52" s="2"/>
    </row>
    <row r="53" spans="4:4" x14ac:dyDescent="0.25">
      <c r="D53" s="2"/>
    </row>
    <row r="54" spans="4:4" x14ac:dyDescent="0.25">
      <c r="D54" s="2"/>
    </row>
    <row r="55" spans="4:4" x14ac:dyDescent="0.25">
      <c r="D55" s="2"/>
    </row>
    <row r="56" spans="4:4" x14ac:dyDescent="0.25">
      <c r="D56" s="2"/>
    </row>
    <row r="57" spans="4:4" x14ac:dyDescent="0.25">
      <c r="D57" s="2"/>
    </row>
    <row r="58" spans="4:4" x14ac:dyDescent="0.25">
      <c r="D58" s="2"/>
    </row>
    <row r="59" spans="4:4" x14ac:dyDescent="0.25">
      <c r="D59" s="2"/>
    </row>
    <row r="60" spans="4:4" x14ac:dyDescent="0.25">
      <c r="D60" s="2"/>
    </row>
    <row r="61" spans="4:4" x14ac:dyDescent="0.25">
      <c r="D61" s="2"/>
    </row>
    <row r="62" spans="4:4" x14ac:dyDescent="0.25">
      <c r="D62" s="2"/>
    </row>
    <row r="63" spans="4:4" x14ac:dyDescent="0.25">
      <c r="D63" s="2"/>
    </row>
    <row r="64" spans="4:4" x14ac:dyDescent="0.25">
      <c r="D64" s="2"/>
    </row>
    <row r="65" spans="4:4" x14ac:dyDescent="0.25">
      <c r="D65" s="2"/>
    </row>
    <row r="66" spans="4:4" x14ac:dyDescent="0.25">
      <c r="D66" s="2"/>
    </row>
    <row r="67" spans="4:4" x14ac:dyDescent="0.25">
      <c r="D67" s="2"/>
    </row>
    <row r="68" spans="4:4" x14ac:dyDescent="0.25">
      <c r="D68" s="2"/>
    </row>
    <row r="69" spans="4:4" x14ac:dyDescent="0.25">
      <c r="D69" s="2"/>
    </row>
    <row r="70" spans="4:4" x14ac:dyDescent="0.25">
      <c r="D70" s="2"/>
    </row>
    <row r="71" spans="4:4" x14ac:dyDescent="0.25">
      <c r="D71" s="2"/>
    </row>
    <row r="72" spans="4:4" x14ac:dyDescent="0.25">
      <c r="D72" s="2"/>
    </row>
    <row r="73" spans="4:4" x14ac:dyDescent="0.25">
      <c r="D73" s="2"/>
    </row>
    <row r="74" spans="4:4" x14ac:dyDescent="0.25">
      <c r="D74" s="2"/>
    </row>
    <row r="75" spans="4:4" x14ac:dyDescent="0.25">
      <c r="D75" s="2"/>
    </row>
    <row r="76" spans="4:4" x14ac:dyDescent="0.25">
      <c r="D76" s="2"/>
    </row>
    <row r="77" spans="4:4" x14ac:dyDescent="0.25">
      <c r="D77" s="2"/>
    </row>
    <row r="78" spans="4:4" x14ac:dyDescent="0.25">
      <c r="D78" s="2"/>
    </row>
    <row r="79" spans="4:4" x14ac:dyDescent="0.25">
      <c r="D79" s="2"/>
    </row>
    <row r="80" spans="4:4" x14ac:dyDescent="0.25">
      <c r="D80" s="2"/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  <row r="137" spans="4:4" x14ac:dyDescent="0.25">
      <c r="D137" s="2"/>
    </row>
    <row r="138" spans="4:4" x14ac:dyDescent="0.25">
      <c r="D138" s="2"/>
    </row>
    <row r="139" spans="4:4" x14ac:dyDescent="0.25">
      <c r="D139" s="2"/>
    </row>
    <row r="140" spans="4:4" x14ac:dyDescent="0.25">
      <c r="D140" s="2"/>
    </row>
    <row r="141" spans="4:4" x14ac:dyDescent="0.25">
      <c r="D141" s="2"/>
    </row>
    <row r="142" spans="4:4" x14ac:dyDescent="0.25">
      <c r="D142" s="2"/>
    </row>
    <row r="143" spans="4:4" x14ac:dyDescent="0.25">
      <c r="D143" s="2"/>
    </row>
    <row r="144" spans="4:4" x14ac:dyDescent="0.25">
      <c r="D144" s="2"/>
    </row>
    <row r="145" spans="4:4" x14ac:dyDescent="0.25">
      <c r="D145" s="2"/>
    </row>
    <row r="146" spans="4:4" x14ac:dyDescent="0.25">
      <c r="D146" s="2"/>
    </row>
    <row r="147" spans="4:4" x14ac:dyDescent="0.25">
      <c r="D147" s="2"/>
    </row>
    <row r="148" spans="4:4" x14ac:dyDescent="0.25">
      <c r="D148" s="2"/>
    </row>
    <row r="149" spans="4:4" x14ac:dyDescent="0.25">
      <c r="D149" s="2"/>
    </row>
    <row r="150" spans="4:4" x14ac:dyDescent="0.25">
      <c r="D150" s="2"/>
    </row>
    <row r="151" spans="4:4" x14ac:dyDescent="0.25">
      <c r="D151" s="2"/>
    </row>
    <row r="152" spans="4:4" x14ac:dyDescent="0.25">
      <c r="D152" s="2"/>
    </row>
    <row r="153" spans="4:4" x14ac:dyDescent="0.25">
      <c r="D153" s="2"/>
    </row>
    <row r="154" spans="4:4" x14ac:dyDescent="0.25">
      <c r="D154" s="2"/>
    </row>
    <row r="155" spans="4:4" x14ac:dyDescent="0.25">
      <c r="D155" s="2"/>
    </row>
    <row r="156" spans="4:4" x14ac:dyDescent="0.25">
      <c r="D156" s="2"/>
    </row>
    <row r="157" spans="4:4" x14ac:dyDescent="0.25">
      <c r="D157" s="2"/>
    </row>
    <row r="158" spans="4:4" x14ac:dyDescent="0.25">
      <c r="D158" s="2"/>
    </row>
    <row r="159" spans="4:4" x14ac:dyDescent="0.25">
      <c r="D159" s="2"/>
    </row>
    <row r="160" spans="4:4" x14ac:dyDescent="0.25">
      <c r="D160" s="2"/>
    </row>
    <row r="161" spans="4:4" x14ac:dyDescent="0.25">
      <c r="D161" s="2"/>
    </row>
    <row r="162" spans="4:4" x14ac:dyDescent="0.25">
      <c r="D162" s="2"/>
    </row>
    <row r="163" spans="4:4" x14ac:dyDescent="0.25">
      <c r="D163" s="2"/>
    </row>
    <row r="164" spans="4:4" x14ac:dyDescent="0.25">
      <c r="D164" s="2"/>
    </row>
    <row r="165" spans="4:4" x14ac:dyDescent="0.25">
      <c r="D165" s="2"/>
    </row>
    <row r="166" spans="4:4" x14ac:dyDescent="0.25">
      <c r="D166" s="2"/>
    </row>
    <row r="167" spans="4:4" x14ac:dyDescent="0.25">
      <c r="D167" s="2"/>
    </row>
    <row r="168" spans="4:4" x14ac:dyDescent="0.25">
      <c r="D168" s="2"/>
    </row>
    <row r="169" spans="4:4" x14ac:dyDescent="0.25">
      <c r="D169" s="2"/>
    </row>
    <row r="170" spans="4:4" x14ac:dyDescent="0.25">
      <c r="D170" s="2"/>
    </row>
    <row r="171" spans="4:4" x14ac:dyDescent="0.25">
      <c r="D171" s="2"/>
    </row>
    <row r="172" spans="4:4" x14ac:dyDescent="0.25">
      <c r="D172" s="2"/>
    </row>
    <row r="173" spans="4:4" x14ac:dyDescent="0.25">
      <c r="D173" s="2"/>
    </row>
    <row r="174" spans="4:4" x14ac:dyDescent="0.25">
      <c r="D174" s="2"/>
    </row>
    <row r="175" spans="4:4" x14ac:dyDescent="0.25">
      <c r="D175" s="2"/>
    </row>
    <row r="176" spans="4:4" x14ac:dyDescent="0.25">
      <c r="D176" s="2"/>
    </row>
    <row r="177" spans="4:4" x14ac:dyDescent="0.25">
      <c r="D177" s="2"/>
    </row>
    <row r="178" spans="4:4" x14ac:dyDescent="0.25">
      <c r="D178" s="2"/>
    </row>
    <row r="179" spans="4:4" x14ac:dyDescent="0.25">
      <c r="D179" s="2"/>
    </row>
    <row r="180" spans="4:4" x14ac:dyDescent="0.25">
      <c r="D180" s="2"/>
    </row>
    <row r="181" spans="4:4" x14ac:dyDescent="0.25">
      <c r="D181" s="2"/>
    </row>
    <row r="182" spans="4:4" x14ac:dyDescent="0.25">
      <c r="D182" s="2"/>
    </row>
    <row r="183" spans="4:4" x14ac:dyDescent="0.25">
      <c r="D183" s="2"/>
    </row>
    <row r="184" spans="4:4" x14ac:dyDescent="0.25">
      <c r="D184" s="2"/>
    </row>
    <row r="185" spans="4:4" x14ac:dyDescent="0.25">
      <c r="D185" s="2"/>
    </row>
    <row r="186" spans="4:4" x14ac:dyDescent="0.25">
      <c r="D186" s="2"/>
    </row>
    <row r="187" spans="4:4" x14ac:dyDescent="0.25">
      <c r="D187" s="2"/>
    </row>
    <row r="188" spans="4:4" x14ac:dyDescent="0.25">
      <c r="D188" s="2"/>
    </row>
    <row r="189" spans="4:4" x14ac:dyDescent="0.25">
      <c r="D189" s="2"/>
    </row>
    <row r="190" spans="4:4" x14ac:dyDescent="0.25">
      <c r="D190" s="2"/>
    </row>
    <row r="191" spans="4:4" x14ac:dyDescent="0.25">
      <c r="D191" s="2"/>
    </row>
    <row r="192" spans="4:4" x14ac:dyDescent="0.25">
      <c r="D192" s="2"/>
    </row>
    <row r="193" spans="4:4" x14ac:dyDescent="0.25">
      <c r="D193" s="2"/>
    </row>
    <row r="194" spans="4:4" x14ac:dyDescent="0.25">
      <c r="D194" s="2"/>
    </row>
    <row r="195" spans="4:4" x14ac:dyDescent="0.25">
      <c r="D195" s="2"/>
    </row>
    <row r="196" spans="4:4" x14ac:dyDescent="0.25">
      <c r="D196" s="2"/>
    </row>
    <row r="197" spans="4:4" x14ac:dyDescent="0.25">
      <c r="D197" s="2"/>
    </row>
    <row r="198" spans="4:4" x14ac:dyDescent="0.25">
      <c r="D198" s="2"/>
    </row>
    <row r="199" spans="4:4" x14ac:dyDescent="0.25">
      <c r="D199" s="2"/>
    </row>
    <row r="200" spans="4:4" x14ac:dyDescent="0.25">
      <c r="D200" s="2"/>
    </row>
    <row r="201" spans="4:4" x14ac:dyDescent="0.25">
      <c r="D201" s="2"/>
    </row>
    <row r="202" spans="4:4" x14ac:dyDescent="0.25">
      <c r="D202" s="2"/>
    </row>
    <row r="203" spans="4:4" x14ac:dyDescent="0.25">
      <c r="D203" s="2"/>
    </row>
    <row r="204" spans="4:4" x14ac:dyDescent="0.25">
      <c r="D204" s="2"/>
    </row>
    <row r="205" spans="4:4" x14ac:dyDescent="0.25">
      <c r="D205" s="2"/>
    </row>
    <row r="206" spans="4:4" x14ac:dyDescent="0.25">
      <c r="D206" s="2"/>
    </row>
    <row r="207" spans="4:4" x14ac:dyDescent="0.25">
      <c r="D207" s="2"/>
    </row>
    <row r="208" spans="4:4" x14ac:dyDescent="0.25">
      <c r="D208" s="2"/>
    </row>
    <row r="209" spans="4:4" x14ac:dyDescent="0.25">
      <c r="D209" s="2"/>
    </row>
    <row r="210" spans="4:4" x14ac:dyDescent="0.25">
      <c r="D210" s="2"/>
    </row>
    <row r="211" spans="4:4" x14ac:dyDescent="0.25">
      <c r="D211" s="2"/>
    </row>
    <row r="212" spans="4:4" x14ac:dyDescent="0.25">
      <c r="D212" s="2"/>
    </row>
    <row r="213" spans="4:4" x14ac:dyDescent="0.25">
      <c r="D213" s="2"/>
    </row>
    <row r="214" spans="4:4" x14ac:dyDescent="0.25">
      <c r="D214" s="2"/>
    </row>
    <row r="215" spans="4:4" x14ac:dyDescent="0.25">
      <c r="D215" s="2"/>
    </row>
    <row r="216" spans="4:4" x14ac:dyDescent="0.25">
      <c r="D216" s="2"/>
    </row>
    <row r="217" spans="4:4" x14ac:dyDescent="0.25">
      <c r="D217" s="2"/>
    </row>
    <row r="218" spans="4:4" x14ac:dyDescent="0.25">
      <c r="D218" s="2"/>
    </row>
    <row r="219" spans="4:4" x14ac:dyDescent="0.25">
      <c r="D219" s="2"/>
    </row>
    <row r="220" spans="4:4" x14ac:dyDescent="0.25">
      <c r="D220" s="2"/>
    </row>
    <row r="221" spans="4:4" x14ac:dyDescent="0.25">
      <c r="D221" s="2"/>
    </row>
    <row r="222" spans="4:4" x14ac:dyDescent="0.25">
      <c r="D222" s="2"/>
    </row>
    <row r="223" spans="4:4" x14ac:dyDescent="0.25">
      <c r="D223" s="2"/>
    </row>
    <row r="224" spans="4:4" x14ac:dyDescent="0.25">
      <c r="D224" s="2"/>
    </row>
    <row r="225" spans="4:4" x14ac:dyDescent="0.25">
      <c r="D225" s="2"/>
    </row>
    <row r="226" spans="4:4" x14ac:dyDescent="0.25">
      <c r="D226" s="2"/>
    </row>
    <row r="227" spans="4:4" x14ac:dyDescent="0.25">
      <c r="D227" s="2"/>
    </row>
    <row r="228" spans="4:4" x14ac:dyDescent="0.25">
      <c r="D228" s="2"/>
    </row>
    <row r="229" spans="4:4" x14ac:dyDescent="0.25">
      <c r="D229" s="2"/>
    </row>
    <row r="230" spans="4:4" x14ac:dyDescent="0.25">
      <c r="D230" s="2"/>
    </row>
    <row r="231" spans="4:4" x14ac:dyDescent="0.25">
      <c r="D231" s="2"/>
    </row>
    <row r="232" spans="4:4" x14ac:dyDescent="0.25">
      <c r="D232" s="2"/>
    </row>
    <row r="233" spans="4:4" x14ac:dyDescent="0.25">
      <c r="D233" s="2"/>
    </row>
    <row r="234" spans="4:4" x14ac:dyDescent="0.25">
      <c r="D234" s="2"/>
    </row>
    <row r="235" spans="4:4" x14ac:dyDescent="0.25">
      <c r="D235" s="2"/>
    </row>
    <row r="236" spans="4:4" x14ac:dyDescent="0.25">
      <c r="D236" s="2"/>
    </row>
    <row r="237" spans="4:4" x14ac:dyDescent="0.25">
      <c r="D237" s="2"/>
    </row>
    <row r="238" spans="4:4" x14ac:dyDescent="0.25">
      <c r="D238" s="2"/>
    </row>
    <row r="239" spans="4:4" x14ac:dyDescent="0.25">
      <c r="D239" s="2"/>
    </row>
    <row r="240" spans="4:4" x14ac:dyDescent="0.25"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5E9E-CCD5-4498-A606-F0FBEB54CF51}">
  <sheetPr codeName="Sheet1"/>
  <dimension ref="A1:K55"/>
  <sheetViews>
    <sheetView tabSelected="1" zoomScale="190" zoomScaleNormal="190" workbookViewId="0">
      <selection activeCell="A13" sqref="A13:XFD13"/>
    </sheetView>
  </sheetViews>
  <sheetFormatPr defaultRowHeight="15" x14ac:dyDescent="0.25"/>
  <cols>
    <col min="4" max="4" width="43.42578125" bestFit="1" customWidth="1"/>
    <col min="6" max="6" width="34.85546875" customWidth="1"/>
    <col min="7" max="7" width="19.5703125" style="4" customWidth="1"/>
    <col min="11" max="11" width="19.5703125" customWidth="1"/>
  </cols>
  <sheetData>
    <row r="1" spans="1:11" x14ac:dyDescent="0.25">
      <c r="A1">
        <v>1</v>
      </c>
      <c r="C1" t="s">
        <v>67</v>
      </c>
      <c r="J1" t="str">
        <f>IF(C1&gt;"","&lt;tr&gt;&lt;/tr&gt;&lt;tr&gt;&lt;th colspan=""2""&gt;"&amp;C1&amp;"&lt;/th&gt;&lt;/tr&gt;","&lt;tr&gt;&lt;td&gt;"&amp;D1&amp;"&lt;/td&gt;&lt;td&gt;"&amp;F1&amp;"&lt;div class=""location""&gt;&lt;span data-time="""&amp;G1&amp;""" data-number="""&amp;H1&amp;""" onclick=""place_pin(this)"" class=""map""&gt;&lt;/span&gt;&lt;/div&gt;"&amp;IF(E1="","","&lt;div class=""note""&gt;"&amp;E1&amp;"&lt;/div&gt;")&amp;"&lt;/td&gt;&lt;/tr&gt;")</f>
        <v>&lt;tr&gt;&lt;/tr&gt;&lt;tr&gt;&lt;th colspan="2"&gt;9:00 am Hour&lt;/th&gt;&lt;/tr&gt;</v>
      </c>
    </row>
    <row r="2" spans="1:11" x14ac:dyDescent="0.25">
      <c r="A2">
        <v>3</v>
      </c>
      <c r="D2" t="s">
        <v>102</v>
      </c>
      <c r="F2" t="s">
        <v>135</v>
      </c>
      <c r="G2" s="4" t="s">
        <v>146</v>
      </c>
      <c r="H2">
        <v>18</v>
      </c>
      <c r="J2" t="str">
        <f t="shared" ref="J2:J55" si="0">IF(C2&gt;"","&lt;tr&gt;&lt;/tr&gt;&lt;tr&gt;&lt;th colspan=""2""&gt;"&amp;C2&amp;"&lt;/th&gt;&lt;/tr&gt;","&lt;tr&gt;&lt;td&gt;"&amp;D2&amp;"&lt;/td&gt;&lt;td&gt;"&amp;F2&amp;"&lt;div class=""location""&gt;&lt;span data-time="""&amp;G2&amp;""" data-number="""&amp;H2&amp;""" onclick=""place_pin(this)"" class=""map""&gt;&lt;/span&gt;&lt;/div&gt;"&amp;IF(E2="","","&lt;div class=""note""&gt;"&amp;E2&amp;"&lt;/div&gt;")&amp;"&lt;/td&gt;&lt;/tr&gt;")</f>
        <v>&lt;tr&gt;&lt;td&gt;Continental Artillery&lt;/td&gt;&lt;td&gt;Begin the day as Continental forces load and fire the cannon typical of the Revolutionary War&lt;div class="location"&gt;&lt;span data-time="9:00" data-number="18" onclick="place_pin(this)" class="map"&gt;&lt;/span&gt;&lt;/div&gt;&lt;/td&gt;&lt;/tr&gt;</v>
      </c>
      <c r="K2" s="3"/>
    </row>
    <row r="3" spans="1:11" x14ac:dyDescent="0.25">
      <c r="A3">
        <v>5</v>
      </c>
      <c r="C3" t="s">
        <v>68</v>
      </c>
      <c r="J3" t="str">
        <f t="shared" si="0"/>
        <v>&lt;tr&gt;&lt;/tr&gt;&lt;tr&gt;&lt;th colspan="2"&gt;10:00 am Hour&lt;/th&gt;&lt;/tr&gt;</v>
      </c>
    </row>
    <row r="4" spans="1:11" x14ac:dyDescent="0.25">
      <c r="A4">
        <v>6</v>
      </c>
      <c r="D4" t="s">
        <v>69</v>
      </c>
      <c r="F4" t="s">
        <v>110</v>
      </c>
      <c r="G4" s="4" t="s">
        <v>147</v>
      </c>
      <c r="H4">
        <v>23</v>
      </c>
      <c r="J4" t="str">
        <f t="shared" si="0"/>
        <v>&lt;tr&gt;&lt;td&gt;Colonial School&lt;/td&gt;&lt;td&gt;Children attend school for academic, etiquette, and moral lessons of the day&lt;div class="location"&gt;&lt;span data-time="10:00" data-number="23" onclick="place_pin(this)" class="map"&gt;&lt;/span&gt;&lt;/div&gt;&lt;/td&gt;&lt;/tr&gt;</v>
      </c>
      <c r="K4" s="3"/>
    </row>
    <row r="5" spans="1:11" x14ac:dyDescent="0.25">
      <c r="A5">
        <v>8</v>
      </c>
      <c r="D5" t="s">
        <v>143</v>
      </c>
      <c r="F5" t="s">
        <v>111</v>
      </c>
      <c r="G5" s="4" t="s">
        <v>148</v>
      </c>
      <c r="H5">
        <v>19</v>
      </c>
      <c r="J5" t="str">
        <f t="shared" si="0"/>
        <v>&lt;tr&gt;&lt;td&gt;British  Swordplay&lt;/td&gt;&lt;td&gt;Watch British military demonstrate offensive and defensive techniques&lt;div class="location"&gt;&lt;span data-time="10:15" data-number="19" onclick="place_pin(this)" class="map"&gt;&lt;/span&gt;&lt;/div&gt;&lt;/td&gt;&lt;/tr&gt;</v>
      </c>
      <c r="K5" s="3"/>
    </row>
    <row r="6" spans="1:11" x14ac:dyDescent="0.25">
      <c r="A6">
        <v>9</v>
      </c>
      <c r="D6" t="s">
        <v>70</v>
      </c>
      <c r="F6" t="s">
        <v>112</v>
      </c>
      <c r="G6" s="4" t="s">
        <v>148</v>
      </c>
      <c r="H6">
        <v>3</v>
      </c>
      <c r="J6" t="str">
        <f t="shared" si="0"/>
        <v>&lt;tr&gt;&lt;td&gt;Patrick Henry&lt;/td&gt;&lt;td&gt;A conversation with one of the revolution’s top orators&lt;div class="location"&gt;&lt;span data-time="10:15" data-number="3" onclick="place_pin(this)" class="map"&gt;&lt;/span&gt;&lt;/div&gt;&lt;/td&gt;&lt;/tr&gt;</v>
      </c>
      <c r="K6" s="3"/>
    </row>
    <row r="7" spans="1:11" x14ac:dyDescent="0.25">
      <c r="A7">
        <v>10</v>
      </c>
      <c r="D7" t="s">
        <v>71</v>
      </c>
      <c r="F7" t="s">
        <v>113</v>
      </c>
      <c r="G7" s="4" t="s">
        <v>149</v>
      </c>
      <c r="H7">
        <v>20</v>
      </c>
      <c r="J7" t="str">
        <f t="shared" si="0"/>
        <v>&lt;tr&gt;&lt;td&gt;Unfurling History&lt;/td&gt;&lt;td&gt;Learn the history of the flags of the American Revolution&lt;div class="location"&gt;&lt;span data-time="10:30" data-number="20" onclick="place_pin(this)" class="map"&gt;&lt;/span&gt;&lt;/div&gt;&lt;/td&gt;&lt;/tr&gt;</v>
      </c>
    </row>
    <row r="8" spans="1:11" x14ac:dyDescent="0.25">
      <c r="A8">
        <v>11</v>
      </c>
      <c r="D8" t="s">
        <v>72</v>
      </c>
      <c r="F8" t="s">
        <v>114</v>
      </c>
      <c r="G8" s="4" t="s">
        <v>150</v>
      </c>
      <c r="H8">
        <v>26</v>
      </c>
      <c r="J8" t="str">
        <f t="shared" si="0"/>
        <v>&lt;tr&gt;&lt;td&gt;British Muster &amp; Drill&lt;/td&gt;&lt;td&gt;The King’s forces maneuver and drill, preparing to suppress the rebellion&lt;div class="location"&gt;&lt;span data-time="10:45" data-number="26" onclick="place_pin(this)" class="map"&gt;&lt;/span&gt;&lt;/div&gt;&lt;/td&gt;&lt;/tr&gt;</v>
      </c>
      <c r="K8" s="3"/>
    </row>
    <row r="9" spans="1:11" x14ac:dyDescent="0.25">
      <c r="A9">
        <v>12</v>
      </c>
      <c r="C9" t="s">
        <v>73</v>
      </c>
      <c r="J9" t="str">
        <f t="shared" si="0"/>
        <v>&lt;tr&gt;&lt;/tr&gt;&lt;tr&gt;&lt;th colspan="2"&gt;11:00 am Hour&lt;/th&gt;&lt;/tr&gt;</v>
      </c>
    </row>
    <row r="10" spans="1:11" x14ac:dyDescent="0.25">
      <c r="A10">
        <v>13</v>
      </c>
      <c r="D10" t="s">
        <v>74</v>
      </c>
      <c r="F10" t="s">
        <v>136</v>
      </c>
      <c r="G10" s="4" t="s">
        <v>151</v>
      </c>
      <c r="H10">
        <v>23</v>
      </c>
      <c r="J10" t="str">
        <f t="shared" si="0"/>
        <v>&lt;tr&gt;&lt;td&gt;Patriots in Petticoats&lt;/td&gt;&lt;td&gt;Contributions of lesser-known women to American Independence&lt;div class="location"&gt;&lt;span data-time="11:00" data-number="23" onclick="place_pin(this)" class="map"&gt;&lt;/span&gt;&lt;/div&gt;&lt;/td&gt;&lt;/tr&gt;</v>
      </c>
      <c r="K10" s="3"/>
    </row>
    <row r="11" spans="1:11" x14ac:dyDescent="0.25">
      <c r="A11">
        <v>16</v>
      </c>
      <c r="D11" t="s">
        <v>100</v>
      </c>
      <c r="F11" t="s">
        <v>115</v>
      </c>
      <c r="G11" s="4" t="s">
        <v>151</v>
      </c>
      <c r="H11">
        <v>19</v>
      </c>
      <c r="J11" t="str">
        <f t="shared" si="0"/>
        <v>&lt;tr&gt;&lt;td&gt;Dance Instruction&lt;/td&gt;&lt;td&gt;Join this favorite pastime and learn some favorite colonial dances&lt;div class="location"&gt;&lt;span data-time="11:00" data-number="19" onclick="place_pin(this)" class="map"&gt;&lt;/span&gt;&lt;/div&gt;&lt;/td&gt;&lt;/tr&gt;</v>
      </c>
    </row>
    <row r="12" spans="1:11" x14ac:dyDescent="0.25">
      <c r="A12">
        <v>18</v>
      </c>
      <c r="D12" t="s">
        <v>75</v>
      </c>
      <c r="E12" t="s">
        <v>76</v>
      </c>
      <c r="F12" t="s">
        <v>137</v>
      </c>
      <c r="G12" s="4" t="s">
        <v>151</v>
      </c>
      <c r="H12">
        <v>3</v>
      </c>
      <c r="J12" t="str">
        <f t="shared" si="0"/>
        <v>&lt;tr&gt;&lt;td&gt;Tea Tax Debate&lt;/td&gt;&lt;td&gt;Decide if you will march on the ships in the harbor that carry the King’s tea&lt;div class="location"&gt;&lt;span data-time="11:00" data-number="3" onclick="place_pin(this)" class="map"&gt;&lt;/span&gt;&lt;/div&gt;&lt;div class="note"&gt;arrive early to participate&lt;/div&gt;&lt;/td&gt;&lt;/tr&gt;</v>
      </c>
      <c r="K12" s="3"/>
    </row>
    <row r="13" spans="1:11" x14ac:dyDescent="0.25">
      <c r="A13">
        <v>21</v>
      </c>
      <c r="D13" t="s">
        <v>107</v>
      </c>
      <c r="F13" t="s">
        <v>116</v>
      </c>
      <c r="G13" s="4" t="s">
        <v>151</v>
      </c>
      <c r="H13">
        <v>3</v>
      </c>
      <c r="J13" t="str">
        <f t="shared" si="0"/>
        <v>&lt;tr&gt;&lt;td&gt;Patrick Ferguson&lt;/td&gt;&lt;td&gt;Listen to the Revolutionary War’s top marksman. Will you enlist?&lt;div class="location"&gt;&lt;span data-time="11:00" data-number="3" onclick="place_pin(this)" class="map"&gt;&lt;/span&gt;&lt;/div&gt;&lt;/td&gt;&lt;/tr&gt;</v>
      </c>
      <c r="K13" s="3"/>
    </row>
    <row r="14" spans="1:11" x14ac:dyDescent="0.25">
      <c r="A14">
        <v>25</v>
      </c>
      <c r="D14" t="s">
        <v>77</v>
      </c>
      <c r="E14" t="s">
        <v>144</v>
      </c>
      <c r="F14" t="s">
        <v>117</v>
      </c>
      <c r="G14" s="4" t="s">
        <v>151</v>
      </c>
      <c r="H14">
        <v>13</v>
      </c>
      <c r="J14" t="str">
        <f t="shared" si="0"/>
        <v>&lt;tr&gt;&lt;td&gt;Elevenses&lt;/td&gt;&lt;td&gt;Taste a traditional colonial drink, biscuits and tarts while you sit and visit with the founders about the ideas of the revolution&lt;div class="location"&gt;&lt;span data-time="11:00" data-number="13" onclick="place_pin(this)" class="map"&gt;&lt;/span&gt;&lt;/div&gt;&lt;div class="note"&gt;ages 16 &amp; older limited seating donations urged&lt;/div&gt;&lt;/td&gt;&lt;/tr&gt;</v>
      </c>
      <c r="K14" s="3"/>
    </row>
    <row r="15" spans="1:11" x14ac:dyDescent="0.25">
      <c r="A15">
        <v>27</v>
      </c>
      <c r="D15" t="s">
        <v>101</v>
      </c>
      <c r="F15" t="s">
        <v>118</v>
      </c>
      <c r="G15" s="4" t="s">
        <v>152</v>
      </c>
      <c r="H15">
        <v>20</v>
      </c>
      <c r="J15" t="str">
        <f t="shared" si="0"/>
        <v>&lt;tr&gt;&lt;td&gt;American Militiaman&lt;/td&gt;&lt;td&gt;Find out why the American militia was so critical to the revolution&lt;div class="location"&gt;&lt;span data-time="11:30" data-number="20" onclick="place_pin(this)" class="map"&gt;&lt;/span&gt;&lt;/div&gt;&lt;/td&gt;&lt;/tr&gt;</v>
      </c>
      <c r="K15" s="3"/>
    </row>
    <row r="16" spans="1:11" x14ac:dyDescent="0.25">
      <c r="A16">
        <v>28</v>
      </c>
      <c r="D16" t="s">
        <v>79</v>
      </c>
      <c r="F16" t="s">
        <v>119</v>
      </c>
      <c r="G16" s="4" t="s">
        <v>152</v>
      </c>
      <c r="H16">
        <v>23</v>
      </c>
      <c r="J16" t="str">
        <f t="shared" si="0"/>
        <v>&lt;tr&gt;&lt;td&gt;Never Caught&lt;/td&gt;&lt;td&gt;Hear the adventures of Ona Judge, escaped from servitude at Mt. Vernon&lt;div class="location"&gt;&lt;span data-time="11:30" data-number="23" onclick="place_pin(this)" class="map"&gt;&lt;/span&gt;&lt;/div&gt;&lt;/td&gt;&lt;/tr&gt;</v>
      </c>
      <c r="K16" s="3"/>
    </row>
    <row r="17" spans="1:11" x14ac:dyDescent="0.25">
      <c r="A17">
        <v>30</v>
      </c>
      <c r="D17" t="s">
        <v>145</v>
      </c>
      <c r="E17" t="s">
        <v>76</v>
      </c>
      <c r="F17" t="s">
        <v>120</v>
      </c>
      <c r="G17" s="4" t="s">
        <v>152</v>
      </c>
      <c r="H17">
        <v>18</v>
      </c>
      <c r="J17" t="str">
        <f t="shared" si="0"/>
        <v>&lt;tr&gt;&lt;td&gt;Children’s Militia&lt;/td&gt;&lt;td&gt;Young patriots join the militia to muster as they march through the Colonial Village and fire some rounds&lt;div class="location"&gt;&lt;span data-time="11:30" data-number="18" onclick="place_pin(this)" class="map"&gt;&lt;/span&gt;&lt;/div&gt;&lt;div class="note"&gt;arrive early to participate&lt;/div&gt;&lt;/td&gt;&lt;/tr&gt;</v>
      </c>
      <c r="K17" s="3"/>
    </row>
    <row r="18" spans="1:11" x14ac:dyDescent="0.25">
      <c r="A18">
        <v>32</v>
      </c>
      <c r="D18" t="s">
        <v>80</v>
      </c>
      <c r="E18" t="s">
        <v>78</v>
      </c>
      <c r="F18" t="s">
        <v>121</v>
      </c>
      <c r="G18" s="4" t="s">
        <v>152</v>
      </c>
      <c r="H18">
        <v>34</v>
      </c>
      <c r="J18" t="str">
        <f t="shared" si="0"/>
        <v>&lt;tr&gt;&lt;td&gt;Calligraphy I&lt;/td&gt;&lt;td&gt;Beginners use pencil to learn the basic strokes that form 18th century script&lt;div class="location"&gt;&lt;span data-time="11:30" data-number="34" onclick="place_pin(this)" class="map"&gt;&lt;/span&gt;&lt;/div&gt;&lt;div class="note"&gt;limited seating&lt;/div&gt;&lt;/td&gt;&lt;/tr&gt;</v>
      </c>
      <c r="K18" s="3"/>
    </row>
    <row r="19" spans="1:11" x14ac:dyDescent="0.25">
      <c r="A19">
        <v>33</v>
      </c>
      <c r="C19" t="s">
        <v>81</v>
      </c>
      <c r="J19" t="str">
        <f t="shared" si="0"/>
        <v>&lt;tr&gt;&lt;/tr&gt;&lt;tr&gt;&lt;th colspan="2"&gt;Noon Hour&lt;/th&gt;&lt;/tr&gt;</v>
      </c>
    </row>
    <row r="20" spans="1:11" x14ac:dyDescent="0.25">
      <c r="A20">
        <v>34</v>
      </c>
      <c r="D20" t="s">
        <v>82</v>
      </c>
      <c r="F20" t="s">
        <v>138</v>
      </c>
      <c r="G20" s="4" t="s">
        <v>153</v>
      </c>
      <c r="H20">
        <v>3</v>
      </c>
      <c r="J20" t="str">
        <f t="shared" si="0"/>
        <v>&lt;tr&gt;&lt;td&gt;Galvez and Rochambeau&lt;/td&gt;&lt;td&gt;A discussion of the roles of Spanish and French military in the American Revolution&lt;div class="location"&gt;&lt;span data-time="12:00" data-number="3" onclick="place_pin(this)" class="map"&gt;&lt;/span&gt;&lt;/div&gt;&lt;/td&gt;&lt;/tr&gt;</v>
      </c>
      <c r="K20" s="3"/>
    </row>
    <row r="21" spans="1:11" x14ac:dyDescent="0.25">
      <c r="A21">
        <v>35</v>
      </c>
      <c r="D21" t="s">
        <v>69</v>
      </c>
      <c r="F21" t="s">
        <v>110</v>
      </c>
      <c r="G21" s="4" t="s">
        <v>153</v>
      </c>
      <c r="H21">
        <v>23</v>
      </c>
      <c r="J21" t="str">
        <f t="shared" si="0"/>
        <v>&lt;tr&gt;&lt;td&gt;Colonial School&lt;/td&gt;&lt;td&gt;Children attend school for academic, etiquette, and moral lessons of the day&lt;div class="location"&gt;&lt;span data-time="12:00" data-number="23" onclick="place_pin(this)" class="map"&gt;&lt;/span&gt;&lt;/div&gt;&lt;/td&gt;&lt;/tr&gt;</v>
      </c>
      <c r="K21" s="3"/>
    </row>
    <row r="22" spans="1:11" x14ac:dyDescent="0.25">
      <c r="A22">
        <v>37</v>
      </c>
      <c r="D22" t="s">
        <v>83</v>
      </c>
      <c r="E22" t="s">
        <v>76</v>
      </c>
      <c r="F22" t="s">
        <v>122</v>
      </c>
      <c r="G22" s="4" t="s">
        <v>153</v>
      </c>
      <c r="H22">
        <v>23</v>
      </c>
      <c r="J22" t="str">
        <f t="shared" si="0"/>
        <v>&lt;tr&gt;&lt;td&gt;Piracy Trial&lt;/td&gt;&lt;td&gt;Participate in the Admiralty Court. Will we hang another pirate?&lt;div class="location"&gt;&lt;span data-time="12:00" data-number="23" onclick="place_pin(this)" class="map"&gt;&lt;/span&gt;&lt;/div&gt;&lt;div class="note"&gt;arrive early to participate&lt;/div&gt;&lt;/td&gt;&lt;/tr&gt;</v>
      </c>
      <c r="K22" s="3"/>
    </row>
    <row r="23" spans="1:11" x14ac:dyDescent="0.25">
      <c r="A23">
        <v>39</v>
      </c>
      <c r="D23" t="s">
        <v>84</v>
      </c>
      <c r="E23" t="s">
        <v>78</v>
      </c>
      <c r="F23" t="s">
        <v>123</v>
      </c>
      <c r="G23" s="4" t="s">
        <v>154</v>
      </c>
      <c r="H23">
        <v>13</v>
      </c>
      <c r="J23" t="str">
        <f t="shared" si="0"/>
        <v>&lt;tr&gt;&lt;td&gt;Lucet Class&lt;/td&gt;&lt;td&gt;Learn to work this ancient tool to make cord for laces, draw-strings, etc.&lt;div class="location"&gt;&lt;span data-time="12:30" data-number="13" onclick="place_pin(this)" class="map"&gt;&lt;/span&gt;&lt;/div&gt;&lt;div class="note"&gt;limited seating&lt;/div&gt;&lt;/td&gt;&lt;/tr&gt;</v>
      </c>
      <c r="K23" s="3"/>
    </row>
    <row r="24" spans="1:11" x14ac:dyDescent="0.25">
      <c r="A24">
        <v>41</v>
      </c>
      <c r="D24" t="s">
        <v>102</v>
      </c>
      <c r="F24" t="s">
        <v>139</v>
      </c>
      <c r="G24" s="4" t="s">
        <v>154</v>
      </c>
      <c r="H24">
        <v>18</v>
      </c>
      <c r="J24" t="str">
        <f t="shared" si="0"/>
        <v>&lt;tr&gt;&lt;td&gt;Continental Artillery&lt;/td&gt;&lt;td&gt;Join as Continental forces load and fire the cannon typical of the Revolutionary War&lt;div class="location"&gt;&lt;span data-time="12:30" data-number="18" onclick="place_pin(this)" class="map"&gt;&lt;/span&gt;&lt;/div&gt;&lt;/td&gt;&lt;/tr&gt;</v>
      </c>
      <c r="K24" s="3"/>
    </row>
    <row r="25" spans="1:11" x14ac:dyDescent="0.25">
      <c r="A25">
        <v>44</v>
      </c>
      <c r="D25" t="s">
        <v>85</v>
      </c>
      <c r="E25" t="s">
        <v>78</v>
      </c>
      <c r="F25" t="s">
        <v>124</v>
      </c>
      <c r="G25" s="4" t="s">
        <v>154</v>
      </c>
      <c r="H25">
        <v>34</v>
      </c>
      <c r="J25" t="str">
        <f t="shared" si="0"/>
        <v>&lt;tr&gt;&lt;td&gt;Shut-the-Box&lt;/td&gt;&lt;td&gt;Enter a tournament playing a popular game of chance and skill for a prize&lt;div class="location"&gt;&lt;span data-time="12:30" data-number="34" onclick="place_pin(this)" class="map"&gt;&lt;/span&gt;&lt;/div&gt;&lt;div class="note"&gt;limited seating&lt;/div&gt;&lt;/td&gt;&lt;/tr&gt;</v>
      </c>
      <c r="K25" s="3"/>
    </row>
    <row r="26" spans="1:11" x14ac:dyDescent="0.25">
      <c r="A26">
        <v>45</v>
      </c>
      <c r="D26" t="s">
        <v>86</v>
      </c>
      <c r="F26" t="s">
        <v>125</v>
      </c>
      <c r="G26" s="4" t="s">
        <v>154</v>
      </c>
      <c r="H26">
        <v>39</v>
      </c>
      <c r="J26" t="str">
        <f t="shared" si="0"/>
        <v>&lt;tr&gt;&lt;td&gt;Gunpowder Incident&lt;/td&gt;&lt;td&gt;Listen to the “true tale” of the appropriation of the people’s gunpowder by Virginia’s governor. Will the governor respond?&lt;div class="location"&gt;&lt;span data-time="12:30" data-number="39" onclick="place_pin(this)" class="map"&gt;&lt;/span&gt;&lt;/div&gt;&lt;/td&gt;&lt;/tr&gt;</v>
      </c>
      <c r="K26" s="3"/>
    </row>
    <row r="27" spans="1:11" x14ac:dyDescent="0.25">
      <c r="A27">
        <v>47</v>
      </c>
      <c r="D27" t="s">
        <v>103</v>
      </c>
      <c r="F27" t="s">
        <v>140</v>
      </c>
      <c r="G27" s="4" t="s">
        <v>155</v>
      </c>
      <c r="H27">
        <v>20</v>
      </c>
      <c r="J27" t="str">
        <f t="shared" si="0"/>
        <v>&lt;tr&gt;&lt;td&gt;James Madison&lt;/td&gt;&lt;td&gt;A conversation with the Father of the Constitution of the United States&lt;div class="location"&gt;&lt;span data-time="12:45" data-number="20" onclick="place_pin(this)" class="map"&gt;&lt;/span&gt;&lt;/div&gt;&lt;/td&gt;&lt;/tr&gt;</v>
      </c>
      <c r="K27" s="3"/>
    </row>
    <row r="28" spans="1:11" x14ac:dyDescent="0.25">
      <c r="A28">
        <v>49</v>
      </c>
      <c r="C28" t="s">
        <v>87</v>
      </c>
      <c r="J28" t="str">
        <f t="shared" si="0"/>
        <v>&lt;tr&gt;&lt;/tr&gt;&lt;tr&gt;&lt;th colspan="2"&gt;1:00 pm Hour&lt;/th&gt;&lt;/tr&gt;</v>
      </c>
    </row>
    <row r="29" spans="1:11" x14ac:dyDescent="0.25">
      <c r="A29">
        <v>51</v>
      </c>
      <c r="D29" t="s">
        <v>104</v>
      </c>
      <c r="F29" t="s">
        <v>126</v>
      </c>
      <c r="G29" s="4" t="s">
        <v>156</v>
      </c>
      <c r="H29">
        <v>19</v>
      </c>
      <c r="J29" t="str">
        <f t="shared" si="0"/>
        <v>&lt;tr&gt;&lt;td&gt;Colonial Folk Songs&lt;/td&gt;&lt;td&gt;Enjoy some of the lesser-known songs of the American colonial era&lt;div class="location"&gt;&lt;span data-time="1:00" data-number="19" onclick="place_pin(this)" class="map"&gt;&lt;/span&gt;&lt;/div&gt;&lt;/td&gt;&lt;/tr&gt;</v>
      </c>
      <c r="K29" s="3"/>
    </row>
    <row r="30" spans="1:11" x14ac:dyDescent="0.25">
      <c r="A30">
        <v>53</v>
      </c>
      <c r="D30" t="s">
        <v>105</v>
      </c>
      <c r="F30" t="s">
        <v>127</v>
      </c>
      <c r="G30" s="4" t="s">
        <v>156</v>
      </c>
      <c r="H30">
        <v>23</v>
      </c>
      <c r="J30" t="str">
        <f t="shared" si="0"/>
        <v>&lt;tr&gt;&lt;td&gt;Sybil Luddington&lt;/td&gt;&lt;td&gt;You’ve heard of Paul Revere’s ride; now listen to Sybil tell of her harrowing ride&lt;div class="location"&gt;&lt;span data-time="1:00" data-number="23" onclick="place_pin(this)" class="map"&gt;&lt;/span&gt;&lt;/div&gt;&lt;/td&gt;&lt;/tr&gt;</v>
      </c>
      <c r="K30" s="3"/>
    </row>
    <row r="31" spans="1:11" x14ac:dyDescent="0.25">
      <c r="A31">
        <v>55</v>
      </c>
      <c r="D31" t="s">
        <v>106</v>
      </c>
      <c r="F31" t="s">
        <v>111</v>
      </c>
      <c r="G31" s="4" t="s">
        <v>157</v>
      </c>
      <c r="H31">
        <v>19</v>
      </c>
      <c r="J31" t="str">
        <f t="shared" si="0"/>
        <v>&lt;tr&gt;&lt;td&gt;British Swordplay&lt;/td&gt;&lt;td&gt;Watch British military demonstrate offensive and defensive techniques&lt;div class="location"&gt;&lt;span data-time="1:30" data-number="19" onclick="place_pin(this)" class="map"&gt;&lt;/span&gt;&lt;/div&gt;&lt;/td&gt;&lt;/tr&gt;</v>
      </c>
      <c r="K31" s="3"/>
    </row>
    <row r="32" spans="1:11" x14ac:dyDescent="0.25">
      <c r="A32">
        <v>56</v>
      </c>
      <c r="D32" t="s">
        <v>88</v>
      </c>
      <c r="F32" t="s">
        <v>89</v>
      </c>
      <c r="G32" s="4" t="s">
        <v>157</v>
      </c>
      <c r="H32">
        <v>3</v>
      </c>
      <c r="J32" t="str">
        <f t="shared" si="0"/>
        <v>&lt;tr&gt;&lt;td&gt;Declaration of Independence&lt;/td&gt;&lt;td&gt;Hear the Declaration of Independence as read by Founding Fathers and others affected by its ideas&lt;div class="location"&gt;&lt;span data-time="1:30" data-number="3" onclick="place_pin(this)" class="map"&gt;&lt;/span&gt;&lt;/div&gt;&lt;/td&gt;&lt;/tr&gt;</v>
      </c>
      <c r="K32" s="3"/>
    </row>
    <row r="33" spans="1:11" x14ac:dyDescent="0.25">
      <c r="A33">
        <v>58</v>
      </c>
      <c r="D33" t="s">
        <v>71</v>
      </c>
      <c r="F33" t="s">
        <v>113</v>
      </c>
      <c r="G33" s="4" t="s">
        <v>158</v>
      </c>
      <c r="H33">
        <v>20</v>
      </c>
      <c r="J33" t="str">
        <f t="shared" si="0"/>
        <v>&lt;tr&gt;&lt;td&gt;Unfurling History&lt;/td&gt;&lt;td&gt;Learn the history of the flags of the American Revolution&lt;div class="location"&gt;&lt;span data-time="1:45" data-number="20" onclick="place_pin(this)" class="map"&gt;&lt;/span&gt;&lt;/div&gt;&lt;/td&gt;&lt;/tr&gt;</v>
      </c>
      <c r="K33" s="3"/>
    </row>
    <row r="34" spans="1:11" x14ac:dyDescent="0.25">
      <c r="A34">
        <v>59</v>
      </c>
      <c r="D34" t="s">
        <v>72</v>
      </c>
      <c r="F34" t="s">
        <v>114</v>
      </c>
      <c r="G34" s="4" t="s">
        <v>158</v>
      </c>
      <c r="H34">
        <v>26</v>
      </c>
      <c r="J34" t="str">
        <f t="shared" si="0"/>
        <v>&lt;tr&gt;&lt;td&gt;British Muster &amp; Drill&lt;/td&gt;&lt;td&gt;The King’s forces maneuver and drill, preparing to suppress the rebellion&lt;div class="location"&gt;&lt;span data-time="1:45" data-number="26" onclick="place_pin(this)" class="map"&gt;&lt;/span&gt;&lt;/div&gt;&lt;/td&gt;&lt;/tr&gt;</v>
      </c>
      <c r="K34" s="3"/>
    </row>
    <row r="35" spans="1:11" x14ac:dyDescent="0.25">
      <c r="A35">
        <v>60</v>
      </c>
      <c r="C35" t="s">
        <v>90</v>
      </c>
      <c r="J35" t="str">
        <f t="shared" si="0"/>
        <v>&lt;tr&gt;&lt;/tr&gt;&lt;tr&gt;&lt;th colspan="2"&gt;2:00 pm Hour&lt;/th&gt;&lt;/tr&gt;</v>
      </c>
    </row>
    <row r="36" spans="1:11" x14ac:dyDescent="0.25">
      <c r="A36">
        <v>61</v>
      </c>
      <c r="D36" t="s">
        <v>69</v>
      </c>
      <c r="F36" t="s">
        <v>110</v>
      </c>
      <c r="G36" s="4" t="s">
        <v>159</v>
      </c>
      <c r="H36">
        <v>23</v>
      </c>
      <c r="J36" t="str">
        <f t="shared" si="0"/>
        <v>&lt;tr&gt;&lt;td&gt;Colonial School&lt;/td&gt;&lt;td&gt;Children attend school for academic, etiquette, and moral lessons of the day&lt;div class="location"&gt;&lt;span data-time="2:00" data-number="23" onclick="place_pin(this)" class="map"&gt;&lt;/span&gt;&lt;/div&gt;&lt;/td&gt;&lt;/tr&gt;</v>
      </c>
      <c r="K36" s="3"/>
    </row>
    <row r="37" spans="1:11" x14ac:dyDescent="0.25">
      <c r="A37">
        <v>65</v>
      </c>
      <c r="D37" t="s">
        <v>91</v>
      </c>
      <c r="E37" t="s">
        <v>144</v>
      </c>
      <c r="F37" t="s">
        <v>141</v>
      </c>
      <c r="G37" s="4" t="s">
        <v>159</v>
      </c>
      <c r="H37">
        <v>13</v>
      </c>
      <c r="J37" t="str">
        <f t="shared" si="0"/>
        <v>&lt;tr&gt;&lt;td&gt;Break bread with the Brits&lt;/td&gt;&lt;td&gt;Taste a traditional colonial drink, breads and jellies while you discuss happenings in the rebellious colonies with those loyal to the crown&lt;div class="location"&gt;&lt;span data-time="2:00" data-number="13" onclick="place_pin(this)" class="map"&gt;&lt;/span&gt;&lt;/div&gt;&lt;div class="note"&gt;ages 16 &amp; older limited seating donations urged&lt;/div&gt;&lt;/td&gt;&lt;/tr&gt;</v>
      </c>
      <c r="K37" s="3"/>
    </row>
    <row r="38" spans="1:11" x14ac:dyDescent="0.25">
      <c r="A38">
        <v>68</v>
      </c>
      <c r="D38" t="s">
        <v>92</v>
      </c>
      <c r="E38" t="s">
        <v>76</v>
      </c>
      <c r="F38" t="s">
        <v>128</v>
      </c>
      <c r="G38" s="4" t="s">
        <v>160</v>
      </c>
      <c r="H38">
        <v>3</v>
      </c>
      <c r="J38" t="str">
        <f t="shared" si="0"/>
        <v>&lt;tr&gt;&lt;td&gt;Hog-theft Trial&lt;/td&gt;&lt;td&gt;One colonist is accused of stealing a hog. Watch the wheels of British justice turn and help decide the fate of the accused&lt;div class="location"&gt;&lt;span data-time="2:45" data-number="3" onclick="place_pin(this)" class="map"&gt;&lt;/span&gt;&lt;/div&gt;&lt;div class="note"&gt;arrive early to participate&lt;/div&gt;&lt;/td&gt;&lt;/tr&gt;</v>
      </c>
      <c r="K38" s="3"/>
    </row>
    <row r="39" spans="1:11" x14ac:dyDescent="0.25">
      <c r="A39">
        <v>69</v>
      </c>
      <c r="D39" t="s">
        <v>93</v>
      </c>
      <c r="F39" t="s">
        <v>129</v>
      </c>
      <c r="G39" s="4" t="s">
        <v>160</v>
      </c>
      <c r="H39">
        <v>20</v>
      </c>
      <c r="J39" t="str">
        <f t="shared" si="0"/>
        <v>&lt;tr&gt;&lt;td&gt;Robert Morris&lt;/td&gt;&lt;td&gt;Hear from this signer of the Declaration who was the financier of the Revolution&lt;div class="location"&gt;&lt;span data-time="2:45" data-number="20" onclick="place_pin(this)" class="map"&gt;&lt;/span&gt;&lt;/div&gt;&lt;/td&gt;&lt;/tr&gt;</v>
      </c>
      <c r="K39" s="3"/>
    </row>
    <row r="40" spans="1:11" x14ac:dyDescent="0.25">
      <c r="A40">
        <v>71</v>
      </c>
      <c r="D40" t="s">
        <v>94</v>
      </c>
      <c r="E40" t="s">
        <v>78</v>
      </c>
      <c r="F40" t="s">
        <v>130</v>
      </c>
      <c r="G40" s="4" t="s">
        <v>160</v>
      </c>
      <c r="H40">
        <v>34</v>
      </c>
      <c r="J40" t="str">
        <f t="shared" si="0"/>
        <v>&lt;tr&gt;&lt;td&gt;Calligraphy II&lt;/td&gt;&lt;td&gt;Quill and ink instruction appropriate for adults and mature youth ($5 fee)&lt;div class="location"&gt;&lt;span data-time="2:45" data-number="34" onclick="place_pin(this)" class="map"&gt;&lt;/span&gt;&lt;/div&gt;&lt;div class="note"&gt;limited seating&lt;/div&gt;&lt;/td&gt;&lt;/tr&gt;</v>
      </c>
      <c r="K40" s="3"/>
    </row>
    <row r="41" spans="1:11" x14ac:dyDescent="0.25">
      <c r="A41">
        <v>72</v>
      </c>
      <c r="C41" t="s">
        <v>95</v>
      </c>
      <c r="J41" t="str">
        <f t="shared" si="0"/>
        <v>&lt;tr&gt;&lt;/tr&gt;&lt;tr&gt;&lt;th colspan="2"&gt;3:00 pm Hour&lt;/th&gt;&lt;/tr&gt;</v>
      </c>
    </row>
    <row r="42" spans="1:11" x14ac:dyDescent="0.25">
      <c r="A42">
        <v>74</v>
      </c>
      <c r="D42" t="s">
        <v>102</v>
      </c>
      <c r="F42" t="s">
        <v>131</v>
      </c>
      <c r="G42" s="4" t="s">
        <v>161</v>
      </c>
      <c r="H42">
        <v>18</v>
      </c>
      <c r="J42" t="str">
        <f t="shared" si="0"/>
        <v>&lt;tr&gt;&lt;td&gt;Continental Artillery&lt;/td&gt;&lt;td&gt;Join as Continental forces fire the cannon typical of the Revolutionary War&lt;div class="location"&gt;&lt;span data-time="3:00" data-number="18" onclick="place_pin(this)" class="map"&gt;&lt;/span&gt;&lt;/div&gt;&lt;/td&gt;&lt;/tr&gt;</v>
      </c>
      <c r="K42" s="3"/>
    </row>
    <row r="43" spans="1:11" x14ac:dyDescent="0.25">
      <c r="A43">
        <v>75</v>
      </c>
      <c r="D43" t="s">
        <v>79</v>
      </c>
      <c r="F43" t="s">
        <v>119</v>
      </c>
      <c r="G43" s="4" t="s">
        <v>162</v>
      </c>
      <c r="H43">
        <v>23</v>
      </c>
      <c r="J43" t="str">
        <f t="shared" si="0"/>
        <v>&lt;tr&gt;&lt;td&gt;Never Caught&lt;/td&gt;&lt;td&gt;Hear the adventures of Ona Judge, escaped from servitude at Mt. Vernon&lt;div class="location"&gt;&lt;span data-time="3:15" data-number="23" onclick="place_pin(this)" class="map"&gt;&lt;/span&gt;&lt;/div&gt;&lt;/td&gt;&lt;/tr&gt;</v>
      </c>
      <c r="K43" s="3"/>
    </row>
    <row r="44" spans="1:11" x14ac:dyDescent="0.25">
      <c r="A44">
        <v>76</v>
      </c>
      <c r="D44" t="s">
        <v>71</v>
      </c>
      <c r="F44" t="s">
        <v>113</v>
      </c>
      <c r="G44" s="4" t="s">
        <v>162</v>
      </c>
      <c r="H44">
        <v>20</v>
      </c>
      <c r="J44" t="str">
        <f t="shared" si="0"/>
        <v>&lt;tr&gt;&lt;td&gt;Unfurling History&lt;/td&gt;&lt;td&gt;Learn the history of the flags of the American Revolution&lt;div class="location"&gt;&lt;span data-time="3:15" data-number="20" onclick="place_pin(this)" class="map"&gt;&lt;/span&gt;&lt;/div&gt;&lt;/td&gt;&lt;/tr&gt;</v>
      </c>
      <c r="K44" s="3"/>
    </row>
    <row r="45" spans="1:11" x14ac:dyDescent="0.25">
      <c r="A45">
        <v>77</v>
      </c>
      <c r="D45" t="s">
        <v>96</v>
      </c>
      <c r="F45" t="s">
        <v>142</v>
      </c>
      <c r="G45" s="4" t="s">
        <v>163</v>
      </c>
      <c r="H45">
        <v>3</v>
      </c>
      <c r="J45" t="str">
        <f t="shared" si="0"/>
        <v>&lt;tr&gt;&lt;td&gt;John Adams&lt;/td&gt;&lt;td&gt;A conversation with the titan of American Independence&lt;div class="location"&gt;&lt;span data-time="3:30" data-number="3" onclick="place_pin(this)" class="map"&gt;&lt;/span&gt;&lt;/div&gt;&lt;/td&gt;&lt;/tr&gt;</v>
      </c>
      <c r="K45" s="3"/>
    </row>
    <row r="46" spans="1:11" x14ac:dyDescent="0.25">
      <c r="A46">
        <v>80</v>
      </c>
      <c r="D46" t="s">
        <v>100</v>
      </c>
      <c r="F46" t="s">
        <v>115</v>
      </c>
      <c r="G46" s="4" t="s">
        <v>163</v>
      </c>
      <c r="H46">
        <v>19</v>
      </c>
      <c r="J46" t="str">
        <f t="shared" si="0"/>
        <v>&lt;tr&gt;&lt;td&gt;Dance Instruction&lt;/td&gt;&lt;td&gt;Join this favorite pastime and learn some favorite colonial dances&lt;div class="location"&gt;&lt;span data-time="3:30" data-number="19" onclick="place_pin(this)" class="map"&gt;&lt;/span&gt;&lt;/div&gt;&lt;/td&gt;&lt;/tr&gt;</v>
      </c>
      <c r="K46" s="3"/>
    </row>
    <row r="47" spans="1:11" x14ac:dyDescent="0.25">
      <c r="A47">
        <v>81</v>
      </c>
      <c r="D47" t="s">
        <v>145</v>
      </c>
      <c r="E47" t="s">
        <v>76</v>
      </c>
      <c r="F47" t="s">
        <v>120</v>
      </c>
      <c r="G47" s="4" t="s">
        <v>163</v>
      </c>
      <c r="H47">
        <v>18</v>
      </c>
      <c r="J47" t="str">
        <f t="shared" si="0"/>
        <v>&lt;tr&gt;&lt;td&gt;Children’s Militia&lt;/td&gt;&lt;td&gt;Young patriots join the militia to muster as they march through the Colonial Village and fire some rounds&lt;div class="location"&gt;&lt;span data-time="3:30" data-number="18" onclick="place_pin(this)" class="map"&gt;&lt;/span&gt;&lt;/div&gt;&lt;div class="note"&gt;arrive early to participate&lt;/div&gt;&lt;/td&gt;&lt;/tr&gt;</v>
      </c>
      <c r="K47" s="3"/>
    </row>
    <row r="48" spans="1:11" x14ac:dyDescent="0.25">
      <c r="A48">
        <v>83</v>
      </c>
      <c r="D48" t="s">
        <v>84</v>
      </c>
      <c r="E48" t="s">
        <v>78</v>
      </c>
      <c r="F48" t="s">
        <v>123</v>
      </c>
      <c r="G48" s="4" t="s">
        <v>163</v>
      </c>
      <c r="H48">
        <v>13</v>
      </c>
      <c r="J48" t="str">
        <f t="shared" si="0"/>
        <v>&lt;tr&gt;&lt;td&gt;Lucet Class&lt;/td&gt;&lt;td&gt;Learn to work this ancient tool to make cord for laces, draw-strings, etc.&lt;div class="location"&gt;&lt;span data-time="3:30" data-number="13" onclick="place_pin(this)" class="map"&gt;&lt;/span&gt;&lt;/div&gt;&lt;div class="note"&gt;limited seating&lt;/div&gt;&lt;/td&gt;&lt;/tr&gt;</v>
      </c>
      <c r="K48" s="3"/>
    </row>
    <row r="49" spans="1:11" x14ac:dyDescent="0.25">
      <c r="A49">
        <v>85</v>
      </c>
      <c r="C49" t="s">
        <v>97</v>
      </c>
      <c r="D49" t="s">
        <v>85</v>
      </c>
      <c r="E49" t="s">
        <v>78</v>
      </c>
      <c r="F49" t="s">
        <v>124</v>
      </c>
      <c r="G49" s="4" t="s">
        <v>164</v>
      </c>
      <c r="H49">
        <v>34</v>
      </c>
      <c r="J49" t="str">
        <f t="shared" si="0"/>
        <v>&lt;tr&gt;&lt;/tr&gt;&lt;tr&gt;&lt;th colspan="2"&gt;4:00 pm Hour&lt;/th&gt;&lt;/tr&gt;</v>
      </c>
      <c r="K49" s="3"/>
    </row>
    <row r="50" spans="1:11" x14ac:dyDescent="0.25">
      <c r="A50">
        <v>88</v>
      </c>
      <c r="D50" t="s">
        <v>107</v>
      </c>
      <c r="F50" t="s">
        <v>116</v>
      </c>
      <c r="G50" s="4" t="s">
        <v>165</v>
      </c>
      <c r="H50">
        <v>20</v>
      </c>
      <c r="J50" t="str">
        <f t="shared" si="0"/>
        <v>&lt;tr&gt;&lt;td&gt;Patrick Ferguson&lt;/td&gt;&lt;td&gt;Listen to the Revolutionary War’s top marksman. Will you enlist?&lt;div class="location"&gt;&lt;span data-time="4:00" data-number="20" onclick="place_pin(this)" class="map"&gt;&lt;/span&gt;&lt;/div&gt;&lt;/td&gt;&lt;/tr&gt;</v>
      </c>
      <c r="K50" s="3"/>
    </row>
    <row r="51" spans="1:11" x14ac:dyDescent="0.25">
      <c r="A51">
        <v>89</v>
      </c>
      <c r="D51" t="s">
        <v>69</v>
      </c>
      <c r="F51" t="s">
        <v>110</v>
      </c>
      <c r="G51" s="4" t="s">
        <v>165</v>
      </c>
      <c r="H51">
        <v>23</v>
      </c>
      <c r="J51" t="str">
        <f t="shared" si="0"/>
        <v>&lt;tr&gt;&lt;td&gt;Colonial School&lt;/td&gt;&lt;td&gt;Children attend school for academic, etiquette, and moral lessons of the day&lt;div class="location"&gt;&lt;span data-time="4:00" data-number="23" onclick="place_pin(this)" class="map"&gt;&lt;/span&gt;&lt;/div&gt;&lt;/td&gt;&lt;/tr&gt;</v>
      </c>
      <c r="K51" s="3"/>
    </row>
    <row r="52" spans="1:11" x14ac:dyDescent="0.25">
      <c r="A52">
        <v>90</v>
      </c>
      <c r="D52" t="s">
        <v>98</v>
      </c>
      <c r="F52" t="s">
        <v>132</v>
      </c>
      <c r="G52" s="4" t="s">
        <v>166</v>
      </c>
      <c r="H52">
        <v>3</v>
      </c>
      <c r="J52" t="str">
        <f t="shared" si="0"/>
        <v>&lt;tr&gt;&lt;td&gt;Benjamin Franklin&lt;/td&gt;&lt;td&gt;Join the Sage of America, the Newton of Electricity, Poor Richard himself—Dr. Franklin&lt;div class="location"&gt;&lt;span data-time="4:15" data-number="3" onclick="place_pin(this)" class="map"&gt;&lt;/span&gt;&lt;/div&gt;&lt;/td&gt;&lt;/tr&gt;</v>
      </c>
      <c r="K52" s="3"/>
    </row>
    <row r="53" spans="1:11" x14ac:dyDescent="0.25">
      <c r="A53">
        <v>92</v>
      </c>
      <c r="D53" t="s">
        <v>108</v>
      </c>
      <c r="F53" t="s">
        <v>134</v>
      </c>
      <c r="G53" s="4" t="s">
        <v>166</v>
      </c>
      <c r="H53">
        <v>18</v>
      </c>
      <c r="J53" t="str">
        <f t="shared" si="0"/>
        <v>&lt;tr&gt;&lt;td&gt;Closing Firing&lt;/td&gt;&lt;td&gt;Close the day as the Crown forces and American troops join in a final volley&lt;div class="location"&gt;&lt;span data-time="4:15" data-number="18" onclick="place_pin(this)" class="map"&gt;&lt;/span&gt;&lt;/div&gt;&lt;/td&gt;&lt;/tr&gt;</v>
      </c>
      <c r="K53" s="3"/>
    </row>
    <row r="54" spans="1:11" x14ac:dyDescent="0.25">
      <c r="A54">
        <v>93</v>
      </c>
      <c r="C54" t="s">
        <v>99</v>
      </c>
      <c r="J54" t="str">
        <f t="shared" si="0"/>
        <v>&lt;tr&gt;&lt;/tr&gt;&lt;tr&gt;&lt;th colspan="2"&gt;7:00 pm, Friday, July 5&lt;/th&gt;&lt;/tr&gt;</v>
      </c>
    </row>
    <row r="55" spans="1:11" x14ac:dyDescent="0.25">
      <c r="A55">
        <v>95</v>
      </c>
      <c r="D55" t="s">
        <v>109</v>
      </c>
      <c r="F55" t="s">
        <v>133</v>
      </c>
      <c r="G55" s="4" t="s">
        <v>167</v>
      </c>
      <c r="H55">
        <v>18</v>
      </c>
      <c r="J55" t="str">
        <f t="shared" si="0"/>
        <v>&lt;tr&gt;&lt;td&gt;Colonial Dance&lt;/td&gt;&lt;td&gt;Join a colonial dance for adults and children old enough to follow instruction and participate in dancing&lt;div class="location"&gt;&lt;span data-time="7:00" data-number="18" onclick="place_pin(this)" class="map"&gt;&lt;/span&gt;&lt;/div&gt;&lt;/td&gt;&lt;/tr&gt;</v>
      </c>
      <c r="K55" s="3"/>
    </row>
  </sheetData>
  <sortState xmlns:xlrd2="http://schemas.microsoft.com/office/spreadsheetml/2017/richdata2" ref="A1:F98">
    <sortCondition ref="A1:A98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2019-06-29T16:40:17Z</dcterms:created>
  <dcterms:modified xsi:type="dcterms:W3CDTF">2024-06-25T14:50:24Z</dcterms:modified>
</cp:coreProperties>
</file>